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DBD260E8-FA51-4B8B-9973-64269D60FDF6}" xr6:coauthVersionLast="47" xr6:coauthVersionMax="47" xr10:uidLastSave="{00000000-0000-0000-0000-000000000000}"/>
  <bookViews>
    <workbookView xWindow="-108" yWindow="-108" windowWidth="23256" windowHeight="12456" activeTab="3" xr2:uid="{2BF7385D-6251-4B4F-AEC4-DC98AB957C9B}"/>
  </bookViews>
  <sheets>
    <sheet name="Index Function" sheetId="2" r:id="rId1"/>
    <sheet name="Data" sheetId="1" r:id="rId2"/>
    <sheet name="Match Function" sheetId="3" r:id="rId3"/>
    <sheet name="Index+Mat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4" l="1"/>
  <c r="A15" i="4" a="1"/>
  <c r="A15" i="4" s="1"/>
  <c r="A11" i="4" a="1"/>
  <c r="A11" i="4" s="1"/>
  <c r="A6" i="4"/>
  <c r="A3" i="4"/>
  <c r="A13" i="3"/>
  <c r="B7" i="3"/>
  <c r="B3" i="3"/>
  <c r="L2" i="2"/>
  <c r="A13" i="2" a="1"/>
  <c r="A13" i="2" s="1"/>
  <c r="A9" i="2" a="1"/>
  <c r="A9" i="2" s="1"/>
  <c r="A6" i="2" a="1"/>
  <c r="A6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<sst xmlns="http://schemas.openxmlformats.org/spreadsheetml/2006/main" count="77" uniqueCount="46">
  <si>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</si>
  <si>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</si>
  <si>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</si>
  <si>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</si>
  <si>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</si>
  <si>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</si>
  <si>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</si>
  <si>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</si>
  <si>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Status</t>
  </si>
  <si>
    <t>East</t>
  </si>
  <si>
    <t>Ramesh</t>
  </si>
  <si>
    <t>Laptop</t>
  </si>
  <si>
    <t>Delivered</t>
  </si>
  <si>
    <t>West</t>
  </si>
  <si>
    <t>Sita</t>
  </si>
  <si>
    <t>Mouse</t>
  </si>
  <si>
    <t>Pending</t>
  </si>
  <si>
    <t>North</t>
  </si>
  <si>
    <t>Ravi</t>
  </si>
  <si>
    <t>Keyboard</t>
  </si>
  <si>
    <t>Priya</t>
  </si>
  <si>
    <t>Monitor</t>
  </si>
  <si>
    <t>Cancelled</t>
  </si>
  <si>
    <t>South</t>
  </si>
  <si>
    <t>Ajay</t>
  </si>
  <si>
    <t>index(range,row)</t>
  </si>
  <si>
    <t>index(range,,column)</t>
  </si>
  <si>
    <t>(vertical Values)</t>
  </si>
  <si>
    <t>Horizental values)</t>
  </si>
  <si>
    <t>(Get Entire Row Values)</t>
  </si>
  <si>
    <t xml:space="preserve">      index(table array,row,)</t>
  </si>
  <si>
    <t xml:space="preserve">      index(table array,,column)</t>
  </si>
  <si>
    <t>(Get Entire column Values)</t>
  </si>
  <si>
    <t>index(array,row,colum)</t>
  </si>
  <si>
    <t>Match(lookup value,lookup range,0)</t>
  </si>
  <si>
    <t>(Vertical Match)</t>
  </si>
  <si>
    <t>(Horizontal Match)</t>
  </si>
  <si>
    <t>index(array,3,match(lookup value,lookup array,0)</t>
  </si>
  <si>
    <t>index(array,match(lookup value,lookup array,0),6)</t>
  </si>
  <si>
    <t>(vertical in Match)</t>
  </si>
  <si>
    <t xml:space="preserve">(Horizontal in Match) </t>
  </si>
  <si>
    <t xml:space="preserve">      index(table array,row Match,)</t>
  </si>
  <si>
    <t>Entire Row</t>
  </si>
  <si>
    <t>Entire Column</t>
  </si>
  <si>
    <t xml:space="preserve">   index(table array,row Match,)</t>
  </si>
  <si>
    <t>index(array,Match(row),Match(Column))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</si>
</sst>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6C4F-2F7C-4F0C-B40E-E81CF69527A8}">
  <dimension ref="A1:M23"/>
  <sheetViews>
    <sheetView workbookViewId="0">
      <selection activeCell="A8" sqref="A8:B8"/>
    </sheetView>
  </sheetViews>
  <sheetFormatPr defaultRowHeight="14.4" x14ac:dyDescent="0.3"/>
  <cols>
    <col min="2" max="2" width="19.5546875" customWidth="1"/>
    <col min="13" max="13" width="16.88671875" customWidth="1"/>
  </cols>
  <sheetData>
    <row r="1" spans="1:13" x14ac:dyDescent="0.3">
      <c r="A1" s="3" t="s">
        <v>25</v>
      </c>
      <c r="B1" s="3"/>
      <c r="C1" s="2" t="s">
        <v>27</v>
      </c>
      <c r="D1" s="2"/>
      <c r="L1" s="3" t="s">
        <v>33</v>
      </c>
      <c r="M1" s="3"/>
    </row>
    <row r="2" spans="1:13" x14ac:dyDescent="0.3">
      <c r="A2">
        <f>INDEX(Data!A1:A11,4)</f>
        <v>1003</v>
      </c>
      <c r="L2" t="str">
        <f>INDEX(Data!A1:I11,3,5)</f>
        <v>Mouse</v>
      </c>
    </row>
    <row r="5" spans="1:13" x14ac:dyDescent="0.3">
      <c r="A5" s="3" t="s">
        <v>26</v>
      </c>
      <c r="B5" s="3"/>
      <c r="C5" s="2" t="s">
        <v>28</v>
      </c>
      <c r="D5" s="2"/>
    </row>
    <row r="6" spans="1:13" x14ac:dyDescent="0.3">
      <c r="A6" t="str" cm="1">
        <f t="array" ref="A6">INDEX(Data!A1:I1,,3)</f>
        <v>Region</v>
      </c>
    </row>
    <row r="8" spans="1:13" x14ac:dyDescent="0.3">
      <c r="A8" s="3" t="s">
        <v>30</v>
      </c>
      <c r="B8" s="3"/>
      <c r="C8" s="2" t="s">
        <v>29</v>
      </c>
      <c r="D8" s="2"/>
      <c r="E8" s="2"/>
    </row>
    <row r="9" spans="1:13" x14ac:dyDescent="0.3">
      <c r="A9" cm="1">
        <f t="array" ref="A9:I9">INDEX(Data!A1:I11,2,)</f>
        <v>1001</v>
      </c>
      <c r="B9">
        <v>45292</v>
      </c>
      <c r="C9" t="str">
        <v>East</v>
      </c>
      <c r="D9" t="str">
        <v>Ramesh</v>
      </c>
      <c r="E9" t="str">
        <v>Laptop</v>
      </c>
      <c r="F9">
        <v>3</v>
      </c>
      <c r="G9">
        <v>55000</v>
      </c>
      <c r="H9">
        <v>165000</v>
      </c>
      <c r="I9" t="str">
        <v>Delivered</v>
      </c>
    </row>
    <row r="12" spans="1:13" x14ac:dyDescent="0.3">
      <c r="A12" s="3" t="s">
        <v>31</v>
      </c>
      <c r="B12" s="3"/>
      <c r="C12" s="2" t="s">
        <v>32</v>
      </c>
      <c r="D12" s="2"/>
      <c r="E12" s="2"/>
    </row>
    <row r="13" spans="1:13" x14ac:dyDescent="0.3">
      <c r="A13" t="str" cm="1">
        <f t="array" ref="A13:A23">INDEX(Data!A1:I11,,3)</f>
        <v>Region</v>
      </c>
    </row>
    <row r="14" spans="1:13" x14ac:dyDescent="0.3">
      <c r="A14" t="str">
        <v>East</v>
      </c>
    </row>
    <row r="15" spans="1:13" x14ac:dyDescent="0.3">
      <c r="A15" t="str">
        <v>West</v>
      </c>
    </row>
    <row r="16" spans="1:13" x14ac:dyDescent="0.3">
      <c r="A16" t="str">
        <v>North</v>
      </c>
    </row>
    <row r="17" spans="1:1" x14ac:dyDescent="0.3">
      <c r="A17" t="str">
        <v>East</v>
      </c>
    </row>
    <row r="18" spans="1:1" x14ac:dyDescent="0.3">
      <c r="A18" t="str">
        <v>South</v>
      </c>
    </row>
    <row r="19" spans="1:1" x14ac:dyDescent="0.3">
      <c r="A19" t="str">
        <v>West</v>
      </c>
    </row>
    <row r="20" spans="1:1" x14ac:dyDescent="0.3">
      <c r="A20" t="str">
        <v>North</v>
      </c>
    </row>
    <row r="21" spans="1:1" x14ac:dyDescent="0.3">
      <c r="A21" t="str">
        <v>East</v>
      </c>
    </row>
    <row r="22" spans="1:1" x14ac:dyDescent="0.3">
      <c r="A22" t="str">
        <v>South</v>
      </c>
    </row>
    <row r="23" spans="1:1" x14ac:dyDescent="0.3">
      <c r="A23" t="str">
        <v>West</v>
      </c>
    </row>
  </sheetData>
  <mergeCells count="9">
    <mergeCell ref="L1:M1"/>
    <mergeCell ref="A1:B1"/>
    <mergeCell ref="A5:B5"/>
    <mergeCell ref="A8:B8"/>
    <mergeCell ref="A12:B12"/>
    <mergeCell ref="C1:D1"/>
    <mergeCell ref="C5:D5"/>
    <mergeCell ref="C8:E8"/>
    <mergeCell ref="C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90FD-ADDC-4DB8-9C81-2D1566C8067E}">
  <dimension ref="A1:I11"/>
  <sheetViews>
    <sheetView workbookViewId="0">
      <selection activeCell="E1" sqref="E1:E3"/>
    </sheetView>
  </sheetViews>
  <sheetFormatPr defaultRowHeight="14.4" x14ac:dyDescent="0.3"/>
  <cols>
    <col min="2" max="2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>
        <v>3</v>
      </c>
      <c r="G2">
        <v>55000</v>
      </c>
      <c r="H2">
        <v>165000</v>
      </c>
      <c r="I2" t="s">
        <v>12</v>
      </c>
    </row>
    <row r="3" spans="1:9" x14ac:dyDescent="0.3">
      <c r="A3">
        <v>1002</v>
      </c>
      <c r="B3" s="1">
        <v>45293</v>
      </c>
      <c r="C3" t="s">
        <v>13</v>
      </c>
      <c r="D3" t="s">
        <v>14</v>
      </c>
      <c r="E3" t="s">
        <v>15</v>
      </c>
      <c r="F3">
        <v>10</v>
      </c>
      <c r="G3">
        <v>500</v>
      </c>
      <c r="H3">
        <v>5000</v>
      </c>
      <c r="I3" t="s">
        <v>16</v>
      </c>
    </row>
    <row r="4" spans="1:9" x14ac:dyDescent="0.3">
      <c r="A4">
        <v>1003</v>
      </c>
      <c r="B4" s="1">
        <v>45294</v>
      </c>
      <c r="C4" t="s">
        <v>17</v>
      </c>
      <c r="D4" t="s">
        <v>18</v>
      </c>
      <c r="E4" t="s">
        <v>19</v>
      </c>
      <c r="F4">
        <v>5</v>
      </c>
      <c r="G4">
        <v>1200</v>
      </c>
      <c r="H4">
        <v>6000</v>
      </c>
      <c r="I4" t="s">
        <v>12</v>
      </c>
    </row>
    <row r="5" spans="1:9" x14ac:dyDescent="0.3">
      <c r="A5">
        <v>1004</v>
      </c>
      <c r="B5" s="1">
        <v>45295</v>
      </c>
      <c r="C5" t="s">
        <v>9</v>
      </c>
      <c r="D5" t="s">
        <v>20</v>
      </c>
      <c r="E5" t="s">
        <v>21</v>
      </c>
      <c r="F5">
        <v>2</v>
      </c>
      <c r="G5">
        <v>9000</v>
      </c>
      <c r="H5">
        <v>18000</v>
      </c>
      <c r="I5" t="s">
        <v>22</v>
      </c>
    </row>
    <row r="6" spans="1:9" x14ac:dyDescent="0.3">
      <c r="A6">
        <v>1005</v>
      </c>
      <c r="B6" s="1">
        <v>45296</v>
      </c>
      <c r="C6" t="s">
        <v>23</v>
      </c>
      <c r="D6" t="s">
        <v>10</v>
      </c>
      <c r="E6" t="s">
        <v>11</v>
      </c>
      <c r="F6">
        <v>1</v>
      </c>
      <c r="G6">
        <v>60000</v>
      </c>
      <c r="H6">
        <v>60000</v>
      </c>
      <c r="I6" t="s">
        <v>12</v>
      </c>
    </row>
    <row r="7" spans="1:9" x14ac:dyDescent="0.3">
      <c r="A7">
        <v>1006</v>
      </c>
      <c r="B7" s="1">
        <v>45297</v>
      </c>
      <c r="C7" t="s">
        <v>13</v>
      </c>
      <c r="D7" t="s">
        <v>14</v>
      </c>
      <c r="E7" t="s">
        <v>19</v>
      </c>
      <c r="F7">
        <v>4</v>
      </c>
      <c r="G7">
        <v>1000</v>
      </c>
      <c r="H7">
        <v>4000</v>
      </c>
      <c r="I7" t="s">
        <v>12</v>
      </c>
    </row>
    <row r="8" spans="1:9" x14ac:dyDescent="0.3">
      <c r="A8">
        <v>1007</v>
      </c>
      <c r="B8" s="1">
        <v>45298</v>
      </c>
      <c r="C8" t="s">
        <v>17</v>
      </c>
      <c r="D8" t="s">
        <v>24</v>
      </c>
      <c r="E8" t="s">
        <v>11</v>
      </c>
      <c r="F8">
        <v>2</v>
      </c>
      <c r="G8">
        <v>58000</v>
      </c>
      <c r="H8">
        <v>116000</v>
      </c>
      <c r="I8" t="s">
        <v>16</v>
      </c>
    </row>
    <row r="9" spans="1:9" x14ac:dyDescent="0.3">
      <c r="A9">
        <v>1008</v>
      </c>
      <c r="B9" s="1">
        <v>45299</v>
      </c>
      <c r="C9" t="s">
        <v>9</v>
      </c>
      <c r="D9" t="s">
        <v>20</v>
      </c>
      <c r="E9" t="s">
        <v>15</v>
      </c>
      <c r="F9">
        <v>20</v>
      </c>
      <c r="G9">
        <v>400</v>
      </c>
      <c r="H9">
        <v>8000</v>
      </c>
      <c r="I9" t="s">
        <v>12</v>
      </c>
    </row>
    <row r="10" spans="1:9" x14ac:dyDescent="0.3">
      <c r="A10">
        <v>1009</v>
      </c>
      <c r="B10" s="1">
        <v>45300</v>
      </c>
      <c r="C10" t="s">
        <v>23</v>
      </c>
      <c r="D10" t="s">
        <v>18</v>
      </c>
      <c r="E10" t="s">
        <v>21</v>
      </c>
      <c r="F10">
        <v>1</v>
      </c>
      <c r="G10">
        <v>8500</v>
      </c>
      <c r="H10">
        <v>8500</v>
      </c>
      <c r="I10" t="s">
        <v>12</v>
      </c>
    </row>
    <row r="11" spans="1:9" x14ac:dyDescent="0.3">
      <c r="A11">
        <v>1010</v>
      </c>
      <c r="B11" s="1">
        <v>45301</v>
      </c>
      <c r="C11" t="s">
        <v>13</v>
      </c>
      <c r="D11" t="s">
        <v>10</v>
      </c>
      <c r="E11" t="s">
        <v>11</v>
      </c>
      <c r="F11">
        <v>2</v>
      </c>
      <c r="G11">
        <v>57000</v>
      </c>
      <c r="H11">
        <v>114000</v>
      </c>
      <c r="I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E2AB-2B57-4252-BCA5-0793CEDAFBD0}">
  <dimension ref="A2:G13"/>
  <sheetViews>
    <sheetView workbookViewId="0">
      <selection activeCell="F13" sqref="F13"/>
    </sheetView>
  </sheetViews>
  <sheetFormatPr defaultRowHeight="14.4" x14ac:dyDescent="0.3"/>
  <sheetData>
    <row r="2" spans="1:7" x14ac:dyDescent="0.3">
      <c r="A2" s="5" t="s">
        <v>4</v>
      </c>
      <c r="B2" s="4" t="s">
        <v>34</v>
      </c>
      <c r="C2" s="4"/>
      <c r="D2" s="4"/>
      <c r="E2" s="4"/>
      <c r="F2" s="2" t="s">
        <v>35</v>
      </c>
      <c r="G2" s="2"/>
    </row>
    <row r="3" spans="1:7" x14ac:dyDescent="0.3">
      <c r="A3" t="s">
        <v>11</v>
      </c>
      <c r="B3">
        <f>MATCH(A3,Data!E1:E11,0)</f>
        <v>2</v>
      </c>
    </row>
    <row r="6" spans="1:7" x14ac:dyDescent="0.3">
      <c r="A6" s="5" t="s">
        <v>6</v>
      </c>
      <c r="B6" s="4" t="s">
        <v>34</v>
      </c>
      <c r="C6" s="4"/>
      <c r="D6" s="4"/>
      <c r="E6" s="4"/>
      <c r="F6" s="2" t="s">
        <v>35</v>
      </c>
      <c r="G6" s="2"/>
    </row>
    <row r="7" spans="1:7" x14ac:dyDescent="0.3">
      <c r="A7">
        <v>55000</v>
      </c>
      <c r="B7">
        <f>MATCH(A7,Data!G1:G11,0)</f>
        <v>2</v>
      </c>
    </row>
    <row r="11" spans="1:7" x14ac:dyDescent="0.3">
      <c r="B11" s="7"/>
      <c r="C11" s="7"/>
      <c r="D11" s="7"/>
      <c r="E11" s="7"/>
    </row>
    <row r="12" spans="1:7" x14ac:dyDescent="0.3">
      <c r="A12" s="5" t="s">
        <v>6</v>
      </c>
      <c r="B12" s="6" t="s">
        <v>34</v>
      </c>
      <c r="C12" s="6"/>
      <c r="D12" s="6"/>
      <c r="E12" s="6"/>
      <c r="F12" s="2" t="s">
        <v>36</v>
      </c>
      <c r="G12" s="2"/>
    </row>
    <row r="13" spans="1:7" x14ac:dyDescent="0.3">
      <c r="A13">
        <f>MATCH(A12,Data!A1:I1,0)</f>
        <v>7</v>
      </c>
    </row>
  </sheetData>
  <mergeCells count="4">
    <mergeCell ref="F6:G6"/>
    <mergeCell ref="F12:G12"/>
    <mergeCell ref="B12:E1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D272-4630-4EAB-91C4-BE6EE08E5842}">
  <dimension ref="A1:P25"/>
  <sheetViews>
    <sheetView tabSelected="1" workbookViewId="0">
      <selection activeCell="K20" sqref="K20"/>
    </sheetView>
  </sheetViews>
  <sheetFormatPr defaultRowHeight="14.4" x14ac:dyDescent="0.3"/>
  <cols>
    <col min="1" max="1" width="16.21875" customWidth="1"/>
    <col min="2" max="2" width="21.44140625" customWidth="1"/>
    <col min="9" max="9" width="8" customWidth="1"/>
  </cols>
  <sheetData>
    <row r="1" spans="1:16" x14ac:dyDescent="0.3">
      <c r="M1" s="6" t="s">
        <v>45</v>
      </c>
      <c r="N1" s="6"/>
      <c r="O1" s="6"/>
      <c r="P1" s="6"/>
    </row>
    <row r="2" spans="1:16" x14ac:dyDescent="0.3">
      <c r="A2" s="6" t="s">
        <v>37</v>
      </c>
      <c r="B2" s="6"/>
      <c r="C2" s="6"/>
      <c r="D2" s="6"/>
      <c r="E2" s="6"/>
      <c r="F2" s="2" t="s">
        <v>40</v>
      </c>
      <c r="G2" s="2"/>
      <c r="H2" s="2"/>
      <c r="I2" s="2"/>
      <c r="M2" t="str">
        <f>INDEX(Data!A1:I11,MATCH(Data!A3,Data!A1:A11,0),MATCH(Data!E1,Data!A1:I1,0))</f>
        <v>Mouse</v>
      </c>
    </row>
    <row r="3" spans="1:16" x14ac:dyDescent="0.3">
      <c r="A3" t="str">
        <f>INDEX(Data!A1:I11,3,MATCH(Data!D1,Data!A1:I1,0))</f>
        <v>Sita</v>
      </c>
    </row>
    <row r="5" spans="1:16" x14ac:dyDescent="0.3">
      <c r="A5" s="6" t="s">
        <v>38</v>
      </c>
      <c r="B5" s="6"/>
      <c r="C5" s="6"/>
      <c r="D5" s="6"/>
      <c r="E5" s="6"/>
      <c r="F5" s="2" t="s">
        <v>39</v>
      </c>
      <c r="G5" s="2"/>
      <c r="H5" s="2"/>
      <c r="I5" s="2"/>
    </row>
    <row r="6" spans="1:16" x14ac:dyDescent="0.3">
      <c r="A6">
        <f>INDEX(Data!A1:I11,MATCH(Data!C3,Data!C1:C11,0),6)</f>
        <v>10</v>
      </c>
    </row>
    <row r="10" spans="1:16" x14ac:dyDescent="0.3">
      <c r="A10" s="3" t="s">
        <v>41</v>
      </c>
      <c r="B10" s="3"/>
      <c r="D10" t="s">
        <v>42</v>
      </c>
    </row>
    <row r="11" spans="1:16" x14ac:dyDescent="0.3">
      <c r="A11" cm="1">
        <f t="array" ref="A11:I11">INDEX(Data!A1:I11,MATCH(Data!A3,Data!A1:A11,0),)</f>
        <v>1002</v>
      </c>
      <c r="B11">
        <v>45293</v>
      </c>
      <c r="C11" t="str">
        <v>West</v>
      </c>
      <c r="D11" t="str">
        <v>Sita</v>
      </c>
      <c r="E11" t="str">
        <v>Mouse</v>
      </c>
      <c r="F11">
        <v>10</v>
      </c>
      <c r="G11">
        <v>500</v>
      </c>
      <c r="H11">
        <v>5000</v>
      </c>
      <c r="I11" t="str">
        <v>Pending</v>
      </c>
    </row>
    <row r="14" spans="1:16" x14ac:dyDescent="0.3">
      <c r="A14" s="3" t="s">
        <v>44</v>
      </c>
      <c r="B14" s="3"/>
      <c r="D14" t="s">
        <v>43</v>
      </c>
    </row>
    <row r="15" spans="1:16" x14ac:dyDescent="0.3">
      <c r="A15" t="str" cm="1">
        <f t="array" ref="A15:A25">INDEX(Data!A1:I11,,MATCH(Data!E1,Data!A1:I1,0))</f>
        <v>Product</v>
      </c>
    </row>
    <row r="16" spans="1:16" x14ac:dyDescent="0.3">
      <c r="A16" t="str">
        <v>Laptop</v>
      </c>
    </row>
    <row r="17" spans="1:1" x14ac:dyDescent="0.3">
      <c r="A17" t="str">
        <v>Mouse</v>
      </c>
    </row>
    <row r="18" spans="1:1" x14ac:dyDescent="0.3">
      <c r="A18" t="str">
        <v>Keyboard</v>
      </c>
    </row>
    <row r="19" spans="1:1" x14ac:dyDescent="0.3">
      <c r="A19" t="str">
        <v>Monitor</v>
      </c>
    </row>
    <row r="20" spans="1:1" x14ac:dyDescent="0.3">
      <c r="A20" t="str">
        <v>Laptop</v>
      </c>
    </row>
    <row r="21" spans="1:1" x14ac:dyDescent="0.3">
      <c r="A21" t="str">
        <v>Keyboard</v>
      </c>
    </row>
    <row r="22" spans="1:1" x14ac:dyDescent="0.3">
      <c r="A22" t="str">
        <v>Laptop</v>
      </c>
    </row>
    <row r="23" spans="1:1" x14ac:dyDescent="0.3">
      <c r="A23" t="str">
        <v>Mouse</v>
      </c>
    </row>
    <row r="24" spans="1:1" x14ac:dyDescent="0.3">
      <c r="A24" t="str">
        <v>Monitor</v>
      </c>
    </row>
    <row r="25" spans="1:1" x14ac:dyDescent="0.3">
      <c r="A25" t="str">
        <v>Laptop</v>
      </c>
    </row>
  </sheetData>
  <mergeCells count="7">
    <mergeCell ref="A10:B10"/>
    <mergeCell ref="A14:B14"/>
    <mergeCell ref="M1:P1"/>
    <mergeCell ref="A2:E2"/>
    <mergeCell ref="A5:E5"/>
    <mergeCell ref="F2:I2"/>
    <mergeCell ref="F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Function</vt:lpstr>
      <vt:lpstr>Data</vt:lpstr>
      <vt:lpstr>Match Function</vt:lpstr>
      <vt:lpstr>Index+Match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2025-11-13T07:16:33Z</dcterms:created>
  <dcterms:modified xsi:type="dcterms:W3CDTF">2025-11-13T07:59:18Z</dcterms:modified>
</cp:coreProperties>
</file>