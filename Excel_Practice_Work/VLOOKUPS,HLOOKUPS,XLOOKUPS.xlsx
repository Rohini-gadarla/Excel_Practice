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ar\OneDrive\Desktop\EXCEL\"/>
    </mc:Choice>
  </mc:AlternateContent>
  <xr:revisionPtr revIDLastSave="0" documentId="13_ncr:1_{39D1104E-121C-44E8-96EF-5005F2A25BE1}" xr6:coauthVersionLast="47" xr6:coauthVersionMax="47" xr10:uidLastSave="{00000000-0000-0000-0000-000000000000}"/>
  <bookViews>
    <workbookView xWindow="-108" yWindow="-108" windowWidth="23256" windowHeight="12456" xr2:uid="{929AB036-1F19-4796-8E0F-D6A1F7593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" i="1" l="1"/>
  <c r="O19" i="1"/>
  <c r="O20" i="1"/>
  <c r="O21" i="1"/>
  <c r="O22" i="1"/>
  <c r="O23" i="1"/>
  <c r="O24" i="1"/>
  <c r="O25" i="1"/>
  <c r="O26" i="1"/>
  <c r="O17" i="1"/>
  <c r="L18" i="1"/>
  <c r="L19" i="1"/>
  <c r="L20" i="1"/>
  <c r="L21" i="1"/>
  <c r="L22" i="1"/>
  <c r="L23" i="1"/>
  <c r="L24" i="1"/>
  <c r="L25" i="1"/>
  <c r="L26" i="1"/>
  <c r="L17" i="1"/>
  <c r="I18" i="1"/>
  <c r="I19" i="1"/>
  <c r="I20" i="1"/>
  <c r="I21" i="1"/>
  <c r="I22" i="1"/>
  <c r="I23" i="1"/>
  <c r="I24" i="1"/>
  <c r="I25" i="1"/>
  <c r="I26" i="1"/>
  <c r="I17" i="1"/>
  <c r="I27" i="1"/>
  <c r="E17" i="1"/>
  <c r="E18" i="1"/>
  <c r="E19" i="1"/>
  <c r="E20" i="1"/>
  <c r="E21" i="1"/>
  <c r="E22" i="1"/>
  <c r="E23" i="1"/>
  <c r="E24" i="1"/>
  <c r="E25" i="1"/>
  <c r="E16" i="1"/>
  <c r="D17" i="1"/>
  <c r="D18" i="1"/>
  <c r="D19" i="1"/>
  <c r="D20" i="1"/>
  <c r="D21" i="1"/>
  <c r="D22" i="1"/>
  <c r="D23" i="1"/>
  <c r="D24" i="1"/>
  <c r="D25" i="1"/>
  <c r="D16" i="1"/>
  <c r="C17" i="1"/>
  <c r="C18" i="1"/>
  <c r="C19" i="1"/>
  <c r="C20" i="1"/>
  <c r="C21" i="1"/>
  <c r="C22" i="1"/>
  <c r="C23" i="1"/>
  <c r="C24" i="1"/>
  <c r="C25" i="1"/>
  <c r="C16" i="1"/>
  <c r="B16" i="1"/>
  <c r="B17" i="1"/>
  <c r="B18" i="1"/>
  <c r="B19" i="1"/>
  <c r="B20" i="1"/>
  <c r="B21" i="1"/>
  <c r="B22" i="1"/>
  <c r="B23" i="1"/>
  <c r="B24" i="1"/>
  <c r="B25" i="1"/>
  <c r="L4" i="1"/>
  <c r="L5" i="1"/>
  <c r="L6" i="1"/>
  <c r="L7" i="1"/>
  <c r="L8" i="1"/>
  <c r="L9" i="1"/>
  <c r="L10" i="1"/>
  <c r="L11" i="1"/>
  <c r="L12" i="1"/>
  <c r="K4" i="1"/>
  <c r="K5" i="1"/>
  <c r="K6" i="1"/>
  <c r="K7" i="1"/>
  <c r="K8" i="1"/>
  <c r="K9" i="1"/>
  <c r="K10" i="1"/>
  <c r="K11" i="1"/>
  <c r="K12" i="1"/>
  <c r="J4" i="1"/>
  <c r="J5" i="1"/>
  <c r="J6" i="1"/>
  <c r="J7" i="1"/>
  <c r="J8" i="1"/>
  <c r="J9" i="1"/>
  <c r="J10" i="1"/>
  <c r="J11" i="1"/>
  <c r="J12" i="1"/>
  <c r="L3" i="1"/>
  <c r="K3" i="1"/>
  <c r="J3" i="1"/>
  <c r="I3" i="1"/>
  <c r="I4" i="1"/>
  <c r="I5" i="1"/>
  <c r="I6" i="1"/>
  <c r="I7" i="1"/>
  <c r="I8" i="1"/>
  <c r="I9" i="1"/>
  <c r="I10" i="1"/>
  <c r="I11" i="1"/>
  <c r="I12" i="1"/>
</calcChain>
</file>

<file path=xl/sharedStrings.xml><?xml version="1.0" encoding="utf-8"?>
<sst xmlns="http://schemas.openxmlformats.org/spreadsheetml/2006/main" count="95" uniqueCount="42">
  <si>
    <t>Employee ID</t>
  </si>
  <si>
    <t>Employee Name</t>
  </si>
  <si>
    <t>Department</t>
  </si>
  <si>
    <t>Salary</t>
  </si>
  <si>
    <t>City</t>
  </si>
  <si>
    <t>E101</t>
  </si>
  <si>
    <t>Rohit Sharma</t>
  </si>
  <si>
    <t>HR</t>
  </si>
  <si>
    <t>Mumbai</t>
  </si>
  <si>
    <t>E102</t>
  </si>
  <si>
    <t>Priya Singh</t>
  </si>
  <si>
    <t>IT</t>
  </si>
  <si>
    <t>Delhi</t>
  </si>
  <si>
    <t>E103</t>
  </si>
  <si>
    <t>Aarav Patel</t>
  </si>
  <si>
    <t>Finance</t>
  </si>
  <si>
    <t>Ahmedabad</t>
  </si>
  <si>
    <t>E104</t>
  </si>
  <si>
    <t>Neha Reddy</t>
  </si>
  <si>
    <t>Marketing</t>
  </si>
  <si>
    <t>Hyderabad</t>
  </si>
  <si>
    <t>E105</t>
  </si>
  <si>
    <t>Arjun Mehta</t>
  </si>
  <si>
    <t>Pune</t>
  </si>
  <si>
    <t>E106</t>
  </si>
  <si>
    <t>Sneha Das</t>
  </si>
  <si>
    <t>Kolkata</t>
  </si>
  <si>
    <t>E107</t>
  </si>
  <si>
    <t>Ramesh Kumar</t>
  </si>
  <si>
    <t>Operations</t>
  </si>
  <si>
    <t>Chennai</t>
  </si>
  <si>
    <t>E108</t>
  </si>
  <si>
    <t>Kavya Iyer</t>
  </si>
  <si>
    <t>Bangalore</t>
  </si>
  <si>
    <t>E109</t>
  </si>
  <si>
    <t>Manish Gupta</t>
  </si>
  <si>
    <t>E110</t>
  </si>
  <si>
    <t>Ananya Rao</t>
  </si>
  <si>
    <t>XLOOKUPS</t>
  </si>
  <si>
    <t>VLOOKUPS + CHOOSE</t>
  </si>
  <si>
    <t>VLOOKUPS + COLUMNS</t>
  </si>
  <si>
    <t>HLOOKUPS +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</si>
</sst>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E2F9-ECDC-4A98-A484-FED1474C9F30}">
  <dimension ref="A1:O27"/>
  <sheetViews>
    <sheetView tabSelected="1" topLeftCell="A4" workbookViewId="0">
      <selection activeCell="G8" sqref="G8"/>
    </sheetView>
  </sheetViews>
  <sheetFormatPr defaultColWidth="12.6640625" defaultRowHeight="14.4" x14ac:dyDescent="0.3"/>
  <cols>
    <col min="9" max="9" width="18.44140625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3" t="s">
        <v>40</v>
      </c>
      <c r="I1" s="3"/>
      <c r="J1" s="3"/>
      <c r="K1" s="3"/>
      <c r="L1" s="3"/>
    </row>
    <row r="2" spans="1:15" x14ac:dyDescent="0.3">
      <c r="A2" s="2" t="s">
        <v>5</v>
      </c>
      <c r="B2" s="2" t="s">
        <v>6</v>
      </c>
      <c r="C2" s="2" t="s">
        <v>7</v>
      </c>
      <c r="D2" s="2">
        <v>45000</v>
      </c>
      <c r="E2" s="2" t="s">
        <v>8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</row>
    <row r="3" spans="1:15" x14ac:dyDescent="0.3">
      <c r="A3" s="2" t="s">
        <v>9</v>
      </c>
      <c r="B3" s="2" t="s">
        <v>10</v>
      </c>
      <c r="C3" s="2" t="s">
        <v>11</v>
      </c>
      <c r="D3" s="2">
        <v>60000</v>
      </c>
      <c r="E3" s="2" t="s">
        <v>12</v>
      </c>
      <c r="H3" s="2" t="s">
        <v>5</v>
      </c>
      <c r="I3" t="str">
        <f>VLOOKUP(H3,$A$1:$E$11,COLUMNS($H$2:I2),0)</f>
        <v>Rohit Sharma</v>
      </c>
      <c r="J3" t="str">
        <f>VLOOKUP(H3,$A$1:$E$11,COLUMNS($H$2:J2),0)</f>
        <v>HR</v>
      </c>
      <c r="K3">
        <f>VLOOKUP(H3,$A$1:$E$11,COLUMNS($H$2:K2),0)</f>
        <v>45000</v>
      </c>
      <c r="L3" t="str">
        <f>VLOOKUP(H3,$A$1:$E$11,COLUMNS($H$2:L2),0)</f>
        <v>Mumbai</v>
      </c>
    </row>
    <row r="4" spans="1:15" x14ac:dyDescent="0.3">
      <c r="A4" s="2" t="s">
        <v>13</v>
      </c>
      <c r="B4" s="2" t="s">
        <v>14</v>
      </c>
      <c r="C4" s="2" t="s">
        <v>15</v>
      </c>
      <c r="D4" s="2">
        <v>55000</v>
      </c>
      <c r="E4" s="2" t="s">
        <v>16</v>
      </c>
      <c r="H4" s="2" t="s">
        <v>9</v>
      </c>
      <c r="I4" t="str">
        <f>VLOOKUP(H4,A2:E12,COLUMNS($H$2:I3),0)</f>
        <v>Priya Singh</v>
      </c>
      <c r="J4" t="str">
        <f>VLOOKUP(H4,$A$1:$E$11,COLUMNS($H$2:J3),0)</f>
        <v>IT</v>
      </c>
      <c r="K4">
        <f>VLOOKUP(H4,$A$1:$E$11,COLUMNS($H$2:K3),0)</f>
        <v>60000</v>
      </c>
      <c r="L4" t="str">
        <f>VLOOKUP(H4,$A$1:$E$11,COLUMNS($H$2:L3),0)</f>
        <v>Delhi</v>
      </c>
    </row>
    <row r="5" spans="1:15" x14ac:dyDescent="0.3">
      <c r="A5" s="2" t="s">
        <v>17</v>
      </c>
      <c r="B5" s="2" t="s">
        <v>18</v>
      </c>
      <c r="C5" s="2" t="s">
        <v>19</v>
      </c>
      <c r="D5" s="2">
        <v>48000</v>
      </c>
      <c r="E5" s="2" t="s">
        <v>20</v>
      </c>
      <c r="H5" s="2" t="s">
        <v>13</v>
      </c>
      <c r="I5" t="str">
        <f>VLOOKUP(H5,A3:E13,COLUMNS($H$2:I4),0)</f>
        <v>Aarav Patel</v>
      </c>
      <c r="J5" t="str">
        <f>VLOOKUP(H5,$A$1:$E$11,COLUMNS($H$2:J4),0)</f>
        <v>Finance</v>
      </c>
      <c r="K5">
        <f>VLOOKUP(H5,$A$1:$E$11,COLUMNS($H$2:K4),0)</f>
        <v>55000</v>
      </c>
      <c r="L5" t="str">
        <f>VLOOKUP(H5,$A$1:$E$11,COLUMNS($H$2:L4),0)</f>
        <v>Ahmedabad</v>
      </c>
    </row>
    <row r="6" spans="1:15" x14ac:dyDescent="0.3">
      <c r="A6" s="2" t="s">
        <v>21</v>
      </c>
      <c r="B6" s="2" t="s">
        <v>22</v>
      </c>
      <c r="C6" s="2" t="s">
        <v>11</v>
      </c>
      <c r="D6" s="2">
        <v>62000</v>
      </c>
      <c r="E6" s="2" t="s">
        <v>23</v>
      </c>
      <c r="H6" s="2" t="s">
        <v>17</v>
      </c>
      <c r="I6" t="str">
        <f>VLOOKUP(H6,A4:E14,COLUMNS($H$2:I5),0)</f>
        <v>Neha Reddy</v>
      </c>
      <c r="J6" t="str">
        <f>VLOOKUP(H6,$A$1:$E$11,COLUMNS($H$2:J5),0)</f>
        <v>Marketing</v>
      </c>
      <c r="K6">
        <f>VLOOKUP(H6,$A$1:$E$11,COLUMNS($H$2:K5),0)</f>
        <v>48000</v>
      </c>
      <c r="L6" t="str">
        <f>VLOOKUP(H6,$A$1:$E$11,COLUMNS($H$2:L5),0)</f>
        <v>Hyderabad</v>
      </c>
    </row>
    <row r="7" spans="1:15" x14ac:dyDescent="0.3">
      <c r="A7" s="2" t="s">
        <v>24</v>
      </c>
      <c r="B7" s="2" t="s">
        <v>25</v>
      </c>
      <c r="C7" s="2" t="s">
        <v>7</v>
      </c>
      <c r="D7" s="2">
        <v>46000</v>
      </c>
      <c r="E7" s="2" t="s">
        <v>26</v>
      </c>
      <c r="H7" s="2" t="s">
        <v>21</v>
      </c>
      <c r="I7" t="str">
        <f>VLOOKUP(H7,A5:E15,COLUMNS($H$2:I6),0)</f>
        <v>Arjun Mehta</v>
      </c>
      <c r="J7" t="str">
        <f>VLOOKUP(H7,$A$1:$E$11,COLUMNS($H$2:J6),0)</f>
        <v>IT</v>
      </c>
      <c r="K7">
        <f>VLOOKUP(H7,$A$1:$E$11,COLUMNS($H$2:K6),0)</f>
        <v>62000</v>
      </c>
      <c r="L7" t="str">
        <f>VLOOKUP(H7,$A$1:$E$11,COLUMNS($H$2:L6),0)</f>
        <v>Pune</v>
      </c>
    </row>
    <row r="8" spans="1:15" ht="28.8" x14ac:dyDescent="0.3">
      <c r="A8" s="2" t="s">
        <v>27</v>
      </c>
      <c r="B8" s="2" t="s">
        <v>28</v>
      </c>
      <c r="C8" s="2" t="s">
        <v>29</v>
      </c>
      <c r="D8" s="2">
        <v>50000</v>
      </c>
      <c r="E8" s="2" t="s">
        <v>30</v>
      </c>
      <c r="H8" s="2" t="s">
        <v>24</v>
      </c>
      <c r="I8" t="str">
        <f>VLOOKUP(H8,A6:E16,COLUMNS($H$2:I7),0)</f>
        <v>Sneha Das</v>
      </c>
      <c r="J8" t="str">
        <f>VLOOKUP(H8,$A$1:$E$11,COLUMNS($H$2:J7),0)</f>
        <v>HR</v>
      </c>
      <c r="K8">
        <f>VLOOKUP(H8,$A$1:$E$11,COLUMNS($H$2:K7),0)</f>
        <v>46000</v>
      </c>
      <c r="L8" t="str">
        <f>VLOOKUP(H8,$A$1:$E$11,COLUMNS($H$2:L7),0)</f>
        <v>Kolkata</v>
      </c>
    </row>
    <row r="9" spans="1:15" x14ac:dyDescent="0.3">
      <c r="A9" s="2" t="s">
        <v>31</v>
      </c>
      <c r="B9" s="2" t="s">
        <v>32</v>
      </c>
      <c r="C9" s="2" t="s">
        <v>15</v>
      </c>
      <c r="D9" s="2">
        <v>58000</v>
      </c>
      <c r="E9" s="2" t="s">
        <v>33</v>
      </c>
      <c r="H9" s="2" t="s">
        <v>27</v>
      </c>
      <c r="I9" t="str">
        <f>VLOOKUP(H9,A7:E17,COLUMNS($H$2:I8),0)</f>
        <v>Ramesh Kumar</v>
      </c>
      <c r="J9" t="str">
        <f>VLOOKUP(H9,$A$1:$E$11,COLUMNS($H$2:J8),0)</f>
        <v>Operations</v>
      </c>
      <c r="K9">
        <f>VLOOKUP(H9,$A$1:$E$11,COLUMNS($H$2:K8),0)</f>
        <v>50000</v>
      </c>
      <c r="L9" t="str">
        <f>VLOOKUP(H9,$A$1:$E$11,COLUMNS($H$2:L8),0)</f>
        <v>Chennai</v>
      </c>
    </row>
    <row r="10" spans="1:15" x14ac:dyDescent="0.3">
      <c r="A10" s="2" t="s">
        <v>34</v>
      </c>
      <c r="B10" s="2" t="s">
        <v>35</v>
      </c>
      <c r="C10" s="2" t="s">
        <v>11</v>
      </c>
      <c r="D10" s="2">
        <v>63000</v>
      </c>
      <c r="E10" s="2" t="s">
        <v>12</v>
      </c>
      <c r="H10" s="2" t="s">
        <v>31</v>
      </c>
      <c r="I10" t="str">
        <f>VLOOKUP(H10,A8:E18,COLUMNS($H$2:I9),0)</f>
        <v>Kavya Iyer</v>
      </c>
      <c r="J10" t="str">
        <f>VLOOKUP(H10,$A$1:$E$11,COLUMNS($H$2:J9),0)</f>
        <v>Finance</v>
      </c>
      <c r="K10">
        <f>VLOOKUP(H10,$A$1:$E$11,COLUMNS($H$2:K9),0)</f>
        <v>58000</v>
      </c>
      <c r="L10" t="str">
        <f>VLOOKUP(H10,$A$1:$E$11,COLUMNS($H$2:L9),0)</f>
        <v>Bangalore</v>
      </c>
    </row>
    <row r="11" spans="1:15" x14ac:dyDescent="0.3">
      <c r="A11" s="2" t="s">
        <v>36</v>
      </c>
      <c r="B11" s="2" t="s">
        <v>37</v>
      </c>
      <c r="C11" s="2" t="s">
        <v>19</v>
      </c>
      <c r="D11" s="2">
        <v>47000</v>
      </c>
      <c r="E11" s="2" t="s">
        <v>20</v>
      </c>
      <c r="H11" s="2" t="s">
        <v>34</v>
      </c>
      <c r="I11" t="str">
        <f>VLOOKUP(H11,A9:E19,COLUMNS($H$2:I10),0)</f>
        <v>Manish Gupta</v>
      </c>
      <c r="J11" t="str">
        <f>VLOOKUP(H11,$A$1:$E$11,COLUMNS($H$2:J10),0)</f>
        <v>IT</v>
      </c>
      <c r="K11">
        <f>VLOOKUP(H11,$A$1:$E$11,COLUMNS($H$2:K10),0)</f>
        <v>63000</v>
      </c>
      <c r="L11" t="str">
        <f>VLOOKUP(H11,$A$1:$E$11,COLUMNS($H$2:L10),0)</f>
        <v>Delhi</v>
      </c>
    </row>
    <row r="12" spans="1:15" x14ac:dyDescent="0.3">
      <c r="H12" s="2" t="s">
        <v>36</v>
      </c>
      <c r="I12" t="str">
        <f>VLOOKUP(H12,A10:E20,COLUMNS($H$2:I11),0)</f>
        <v>Ananya Rao</v>
      </c>
      <c r="J12" t="str">
        <f>VLOOKUP(H12,$A$1:$E$11,COLUMNS($H$2:J11),0)</f>
        <v>Marketing</v>
      </c>
      <c r="K12">
        <f>VLOOKUP(H12,$A$1:$E$11,COLUMNS($H$2:K11),0)</f>
        <v>47000</v>
      </c>
      <c r="L12" t="str">
        <f>VLOOKUP(H12,$A$1:$E$11,COLUMNS($H$2:L11),0)</f>
        <v>Hyderabad</v>
      </c>
    </row>
    <row r="14" spans="1:15" x14ac:dyDescent="0.3">
      <c r="A14" s="4" t="s">
        <v>41</v>
      </c>
      <c r="B14" s="4"/>
      <c r="C14" s="4"/>
      <c r="D14" s="4"/>
      <c r="E14" s="4"/>
    </row>
    <row r="15" spans="1:15" ht="28.8" x14ac:dyDescent="0.3">
      <c r="A15" s="1"/>
      <c r="B15" s="1" t="s">
        <v>1</v>
      </c>
      <c r="C15" s="1" t="s">
        <v>2</v>
      </c>
      <c r="D15" s="1" t="s">
        <v>3</v>
      </c>
      <c r="E15" s="1" t="s">
        <v>4</v>
      </c>
      <c r="H15" s="4" t="s">
        <v>38</v>
      </c>
      <c r="I15" s="4"/>
      <c r="K15" s="4" t="s">
        <v>38</v>
      </c>
      <c r="L15" s="4"/>
      <c r="N15" s="4" t="s">
        <v>39</v>
      </c>
      <c r="O15" s="4"/>
    </row>
    <row r="16" spans="1:15" ht="28.8" x14ac:dyDescent="0.3">
      <c r="A16" s="2" t="s">
        <v>5</v>
      </c>
      <c r="B16" t="str">
        <f>HLOOKUP(B15,A$1:B$11,ROWS($A$16:A17),0)</f>
        <v>Rohit Sharma</v>
      </c>
      <c r="C16" t="str">
        <f>HLOOKUP($C$15,B$1:C$11,ROWS($A$16:B17),0)</f>
        <v>HR</v>
      </c>
      <c r="D16">
        <f>HLOOKUP($D$15,C$1:D$11,ROWS($A$16:C17),0)</f>
        <v>45000</v>
      </c>
      <c r="E16" t="str">
        <f>HLOOKUP($E$15,D$1:E$11,ROWS($A$16:D17),0)</f>
        <v>Mumbai</v>
      </c>
      <c r="H16" s="1" t="s">
        <v>0</v>
      </c>
      <c r="I16" s="1" t="s">
        <v>1</v>
      </c>
      <c r="K16" s="1" t="s">
        <v>3</v>
      </c>
      <c r="L16" s="1" t="s">
        <v>1</v>
      </c>
      <c r="N16" s="1" t="s">
        <v>3</v>
      </c>
      <c r="O16" s="1" t="s">
        <v>1</v>
      </c>
    </row>
    <row r="17" spans="1:15" x14ac:dyDescent="0.3">
      <c r="A17" s="2" t="s">
        <v>9</v>
      </c>
      <c r="B17" t="str">
        <f>HLOOKUP($B$15,A$1:B$11,ROWS($A$16:A18),0)</f>
        <v>Priya Singh</v>
      </c>
      <c r="C17" t="str">
        <f>HLOOKUP($C$15,B$1:C$11,ROWS($A$16:B18),0)</f>
        <v>IT</v>
      </c>
      <c r="D17">
        <f>HLOOKUP($D$15,C$1:D$11,ROWS($A$16:C18),0)</f>
        <v>60000</v>
      </c>
      <c r="E17" t="str">
        <f>HLOOKUP($E$15,D$1:E$11,ROWS($A$16:D18),0)</f>
        <v>Delhi</v>
      </c>
      <c r="H17" s="2" t="s">
        <v>5</v>
      </c>
      <c r="I17" t="str">
        <f>_xlfn.XLOOKUP(H17,A$2:A$11,$B$2:$B$11,0)</f>
        <v>Rohit Sharma</v>
      </c>
      <c r="K17" s="2">
        <v>45000</v>
      </c>
      <c r="L17" t="str">
        <f>_xlfn.XLOOKUP(K17,$D$2:$D$11,$B$2:$B$11)</f>
        <v>Rohit Sharma</v>
      </c>
      <c r="N17" s="2">
        <v>45000</v>
      </c>
      <c r="O17" t="str">
        <f>VLOOKUP(N17,CHOOSE({1,2},$D$1:D11,$B$1:B11),2,0)</f>
        <v>Rohit Sharma</v>
      </c>
    </row>
    <row r="18" spans="1:15" x14ac:dyDescent="0.3">
      <c r="A18" s="2" t="s">
        <v>13</v>
      </c>
      <c r="B18" t="str">
        <f>HLOOKUP($B$15,A$1:B$11,ROWS($A$16:A19),0)</f>
        <v>Aarav Patel</v>
      </c>
      <c r="C18" t="str">
        <f>HLOOKUP($C$15,B$1:C$11,ROWS($A$16:B19),0)</f>
        <v>Finance</v>
      </c>
      <c r="D18">
        <f>HLOOKUP($D$15,C$1:D$11,ROWS($A$16:C19),0)</f>
        <v>55000</v>
      </c>
      <c r="E18" t="str">
        <f>HLOOKUP($E$15,D$1:E$11,ROWS($A$16:D19),0)</f>
        <v>Ahmedabad</v>
      </c>
      <c r="H18" s="2" t="s">
        <v>9</v>
      </c>
      <c r="I18" t="str">
        <f t="shared" ref="I18:I26" si="0">_xlfn.XLOOKUP(H18,A$2:A$11,$B$2:$B$11,0)</f>
        <v>Priya Singh</v>
      </c>
      <c r="K18" s="2">
        <v>60000</v>
      </c>
      <c r="L18" t="str">
        <f t="shared" ref="L18:L26" si="1">_xlfn.XLOOKUP(K18,$D$2:$D$11,$B$2:$B$11)</f>
        <v>Priya Singh</v>
      </c>
      <c r="N18" s="2">
        <v>60000</v>
      </c>
      <c r="O18" t="str">
        <f>VLOOKUP(N18,CHOOSE({1,2},$D$1:D12,$B$1:B12),2,0)</f>
        <v>Priya Singh</v>
      </c>
    </row>
    <row r="19" spans="1:15" x14ac:dyDescent="0.3">
      <c r="A19" s="2" t="s">
        <v>17</v>
      </c>
      <c r="B19" t="str">
        <f>HLOOKUP($B$15,A$1:B$11,ROWS($A$16:A20),0)</f>
        <v>Neha Reddy</v>
      </c>
      <c r="C19" t="str">
        <f>HLOOKUP($C$15,B$1:C$11,ROWS($A$16:B20),0)</f>
        <v>Marketing</v>
      </c>
      <c r="D19">
        <f>HLOOKUP($D$15,C$1:D$11,ROWS($A$16:C20),0)</f>
        <v>48000</v>
      </c>
      <c r="E19" t="str">
        <f>HLOOKUP($E$15,D$1:E$11,ROWS($A$16:D20),0)</f>
        <v>Hyderabad</v>
      </c>
      <c r="H19" s="2" t="s">
        <v>13</v>
      </c>
      <c r="I19" t="str">
        <f t="shared" si="0"/>
        <v>Aarav Patel</v>
      </c>
      <c r="K19" s="2">
        <v>55000</v>
      </c>
      <c r="L19" t="str">
        <f t="shared" si="1"/>
        <v>Aarav Patel</v>
      </c>
      <c r="N19" s="2">
        <v>55000</v>
      </c>
      <c r="O19" t="str">
        <f>VLOOKUP(N19,CHOOSE({1,2},$D$1:D13,$B$1:B13),2,0)</f>
        <v>Aarav Patel</v>
      </c>
    </row>
    <row r="20" spans="1:15" x14ac:dyDescent="0.3">
      <c r="A20" s="2" t="s">
        <v>21</v>
      </c>
      <c r="B20" t="str">
        <f>HLOOKUP($B$15,A$1:B$11,ROWS($A$16:A21),0)</f>
        <v>Arjun Mehta</v>
      </c>
      <c r="C20" t="str">
        <f>HLOOKUP($C$15,B$1:C$11,ROWS($A$16:B21),0)</f>
        <v>IT</v>
      </c>
      <c r="D20">
        <f>HLOOKUP($D$15,C$1:D$11,ROWS($A$16:C21),0)</f>
        <v>62000</v>
      </c>
      <c r="E20" t="str">
        <f>HLOOKUP($E$15,D$1:E$11,ROWS($A$16:D21),0)</f>
        <v>Pune</v>
      </c>
      <c r="H20" s="2" t="s">
        <v>17</v>
      </c>
      <c r="I20" t="str">
        <f t="shared" si="0"/>
        <v>Neha Reddy</v>
      </c>
      <c r="K20" s="2">
        <v>48000</v>
      </c>
      <c r="L20" t="str">
        <f t="shared" si="1"/>
        <v>Neha Reddy</v>
      </c>
      <c r="N20" s="2">
        <v>48000</v>
      </c>
      <c r="O20" t="str">
        <f>VLOOKUP(N20,CHOOSE({1,2},$D$1:D14,$B$1:B14),2,0)</f>
        <v>Neha Reddy</v>
      </c>
    </row>
    <row r="21" spans="1:15" x14ac:dyDescent="0.3">
      <c r="A21" s="2" t="s">
        <v>24</v>
      </c>
      <c r="B21" t="str">
        <f>HLOOKUP($B$15,A$1:B$11,ROWS($A$16:A22),0)</f>
        <v>Sneha Das</v>
      </c>
      <c r="C21" t="str">
        <f>HLOOKUP($C$15,B$1:C$11,ROWS($A$16:B22),0)</f>
        <v>HR</v>
      </c>
      <c r="D21">
        <f>HLOOKUP($D$15,C$1:D$11,ROWS($A$16:C22),0)</f>
        <v>46000</v>
      </c>
      <c r="E21" t="str">
        <f>HLOOKUP($E$15,D$1:E$11,ROWS($A$16:D22),0)</f>
        <v>Kolkata</v>
      </c>
      <c r="H21" s="2" t="s">
        <v>21</v>
      </c>
      <c r="I21" t="str">
        <f t="shared" si="0"/>
        <v>Arjun Mehta</v>
      </c>
      <c r="K21" s="2">
        <v>62000</v>
      </c>
      <c r="L21" t="str">
        <f t="shared" si="1"/>
        <v>Arjun Mehta</v>
      </c>
      <c r="N21" s="2">
        <v>62000</v>
      </c>
      <c r="O21" t="str">
        <f>VLOOKUP(N21,CHOOSE({1,2},$D$1:D15,$B$1:B15),2,0)</f>
        <v>Arjun Mehta</v>
      </c>
    </row>
    <row r="22" spans="1:15" x14ac:dyDescent="0.3">
      <c r="A22" s="2" t="s">
        <v>27</v>
      </c>
      <c r="B22" t="str">
        <f>HLOOKUP($B$15,A$1:B$11,ROWS($A$16:A23),0)</f>
        <v>Ramesh Kumar</v>
      </c>
      <c r="C22" t="str">
        <f>HLOOKUP($C$15,B$1:C$11,ROWS($A$16:B23),0)</f>
        <v>Operations</v>
      </c>
      <c r="D22">
        <f>HLOOKUP($D$15,C$1:D$11,ROWS($A$16:C23),0)</f>
        <v>50000</v>
      </c>
      <c r="E22" t="str">
        <f>HLOOKUP($E$15,D$1:E$11,ROWS($A$16:D23),0)</f>
        <v>Chennai</v>
      </c>
      <c r="H22" s="2" t="s">
        <v>24</v>
      </c>
      <c r="I22" t="str">
        <f t="shared" si="0"/>
        <v>Sneha Das</v>
      </c>
      <c r="K22" s="2">
        <v>46000</v>
      </c>
      <c r="L22" t="str">
        <f t="shared" si="1"/>
        <v>Sneha Das</v>
      </c>
      <c r="N22" s="2">
        <v>46000</v>
      </c>
      <c r="O22" t="str">
        <f>VLOOKUP(N22,CHOOSE({1,2},$D$1:D16,$B$1:B16),2,0)</f>
        <v>Sneha Das</v>
      </c>
    </row>
    <row r="23" spans="1:15" x14ac:dyDescent="0.3">
      <c r="A23" s="2" t="s">
        <v>31</v>
      </c>
      <c r="B23" t="str">
        <f>HLOOKUP($B$15,A$1:B$11,ROWS($A$16:A24),0)</f>
        <v>Kavya Iyer</v>
      </c>
      <c r="C23" t="str">
        <f>HLOOKUP($C$15,B$1:C$11,ROWS($A$16:B24),0)</f>
        <v>Finance</v>
      </c>
      <c r="D23">
        <f>HLOOKUP($D$15,C$1:D$11,ROWS($A$16:C24),0)</f>
        <v>58000</v>
      </c>
      <c r="E23" t="str">
        <f>HLOOKUP($E$15,D$1:E$11,ROWS($A$16:D24),0)</f>
        <v>Bangalore</v>
      </c>
      <c r="H23" s="2" t="s">
        <v>27</v>
      </c>
      <c r="I23" t="str">
        <f t="shared" si="0"/>
        <v>Ramesh Kumar</v>
      </c>
      <c r="K23" s="2">
        <v>50000</v>
      </c>
      <c r="L23" t="str">
        <f t="shared" si="1"/>
        <v>Ramesh Kumar</v>
      </c>
      <c r="N23" s="2">
        <v>50000</v>
      </c>
      <c r="O23" t="str">
        <f>VLOOKUP(N23,CHOOSE({1,2},$D$1:D17,$B$1:B17),2,0)</f>
        <v>Ramesh Kumar</v>
      </c>
    </row>
    <row r="24" spans="1:15" x14ac:dyDescent="0.3">
      <c r="A24" s="2" t="s">
        <v>34</v>
      </c>
      <c r="B24" t="str">
        <f>HLOOKUP($B$15,A$1:B$11,ROWS($A$16:A25),0)</f>
        <v>Manish Gupta</v>
      </c>
      <c r="C24" t="str">
        <f>HLOOKUP($C$15,B$1:C$11,ROWS($A$16:B25),0)</f>
        <v>IT</v>
      </c>
      <c r="D24">
        <f>HLOOKUP($D$15,C$1:D$11,ROWS($A$16:C25),0)</f>
        <v>63000</v>
      </c>
      <c r="E24" t="str">
        <f>HLOOKUP($E$15,D$1:E$11,ROWS($A$16:D25),0)</f>
        <v>Delhi</v>
      </c>
      <c r="H24" s="2" t="s">
        <v>31</v>
      </c>
      <c r="I24" t="str">
        <f t="shared" si="0"/>
        <v>Kavya Iyer</v>
      </c>
      <c r="K24" s="2">
        <v>58000</v>
      </c>
      <c r="L24" t="str">
        <f t="shared" si="1"/>
        <v>Kavya Iyer</v>
      </c>
      <c r="N24" s="2">
        <v>58000</v>
      </c>
      <c r="O24" t="str">
        <f>VLOOKUP(N24,CHOOSE({1,2},$D$1:D18,$B$1:B18),2,0)</f>
        <v>Kavya Iyer</v>
      </c>
    </row>
    <row r="25" spans="1:15" x14ac:dyDescent="0.3">
      <c r="A25" s="2" t="s">
        <v>36</v>
      </c>
      <c r="B25" t="str">
        <f>HLOOKUP($B$15,A$1:B$11,ROWS($A$16:A26),0)</f>
        <v>Ananya Rao</v>
      </c>
      <c r="C25" t="str">
        <f>HLOOKUP($C$15,B$1:C$11,ROWS($A$16:B26),0)</f>
        <v>Marketing</v>
      </c>
      <c r="D25">
        <f>HLOOKUP($D$15,C$1:D$11,ROWS($A$16:C26),0)</f>
        <v>47000</v>
      </c>
      <c r="E25" t="str">
        <f>HLOOKUP($E$15,D$1:E$11,ROWS($A$16:D26),0)</f>
        <v>Hyderabad</v>
      </c>
      <c r="H25" s="2" t="s">
        <v>34</v>
      </c>
      <c r="I25" t="str">
        <f t="shared" si="0"/>
        <v>Manish Gupta</v>
      </c>
      <c r="K25" s="2">
        <v>63000</v>
      </c>
      <c r="L25" t="str">
        <f t="shared" si="1"/>
        <v>Manish Gupta</v>
      </c>
      <c r="N25" s="2">
        <v>63000</v>
      </c>
      <c r="O25" t="str">
        <f>VLOOKUP(N25,CHOOSE({1,2},$D$1:D19,$B$1:B19),2,0)</f>
        <v>Manish Gupta</v>
      </c>
    </row>
    <row r="26" spans="1:15" x14ac:dyDescent="0.3">
      <c r="H26" s="2" t="s">
        <v>36</v>
      </c>
      <c r="I26" t="str">
        <f t="shared" si="0"/>
        <v>Ananya Rao</v>
      </c>
      <c r="K26" s="2">
        <v>47000</v>
      </c>
      <c r="L26" t="str">
        <f t="shared" si="1"/>
        <v>Ananya Rao</v>
      </c>
      <c r="N26" s="2">
        <v>47000</v>
      </c>
      <c r="O26" t="str">
        <f>VLOOKUP(N26,CHOOSE({1,2},$D$1:D20,$B$1:B20),2,0)</f>
        <v>Ananya Rao</v>
      </c>
    </row>
    <row r="27" spans="1:15" x14ac:dyDescent="0.3">
      <c r="I27">
        <f t="shared" ref="I18:I27" si="2">_xlfn.XLOOKUP(H27,$A$2:$A$11,B12:B21,0)</f>
        <v>0</v>
      </c>
    </row>
  </sheetData>
  <mergeCells count="5">
    <mergeCell ref="H1:L1"/>
    <mergeCell ref="A14:E14"/>
    <mergeCell ref="H15:I15"/>
    <mergeCell ref="K15:L15"/>
    <mergeCell ref="N15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Gadarla</dc:creator>
  <cp:lastModifiedBy>Rohini Gadarla</cp:lastModifiedBy>
  <dcterms:created xsi:type="dcterms:W3CDTF">2025-11-12T07:46:49Z</dcterms:created>
  <dcterms:modified xsi:type="dcterms:W3CDTF">2025-11-12T08:48:47Z</dcterms:modified>
</cp:coreProperties>
</file>