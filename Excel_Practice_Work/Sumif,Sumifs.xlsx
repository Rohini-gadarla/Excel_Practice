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dar\OneDrive\Desktop\EXCEL\"/>
    </mc:Choice>
  </mc:AlternateContent>
  <xr:revisionPtr revIDLastSave="0" documentId="8_{1FE3A2E8-C97A-452F-ADDD-F3D1657D8FFE}" xr6:coauthVersionLast="47" xr6:coauthVersionMax="47" xr10:uidLastSave="{00000000-0000-0000-0000-000000000000}"/>
  <bookViews>
    <workbookView xWindow="-108" yWindow="-108" windowWidth="23256" windowHeight="12456" activeTab="2" xr2:uid="{A64BBDFA-E67C-414F-8060-29A90E1A0CFB}"/>
  </bookViews>
  <sheets>
    <sheet name="Data" sheetId="1" r:id="rId1"/>
    <sheet name="Sumif" sheetId="2" r:id="rId2"/>
    <sheet name="Sumifs" sheetId="3" r:id="rId3"/>
  </sheets>
  <definedNames>
    <definedName name="_xlnm._FilterDatabase" localSheetId="2" hidden="1">Sumifs!$A$10:$B$20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3" l="1"/>
  <c r="C18" i="3"/>
  <c r="C12" i="3"/>
  <c r="C11" i="3"/>
  <c r="C4" i="3"/>
  <c r="B17" i="2"/>
  <c r="B18" i="2"/>
  <c r="B16" i="2"/>
  <c r="B15" i="2"/>
  <c r="B9" i="2"/>
  <c r="B3" i="2"/>
</calcChain>
</file>

<file path=xl/sharedStrings.xml><?xml version="1.0" encoding="utf-8"?>
<sst xmlns="http://schemas.openxmlformats.org/spreadsheetml/2006/main" count="86" uniqueCount="31">
  <si>
    <t>Order ID</t>
  </si>
  <si>
    <t>Date</t>
  </si>
  <si>
    <t>Region</t>
  </si>
  <si>
    <t>Salesperson</t>
  </si>
  <si>
    <t>Product</t>
  </si>
  <si>
    <t>Quantity</t>
  </si>
  <si>
    <t>Unit Price</t>
  </si>
  <si>
    <t>Total Sales</t>
  </si>
  <si>
    <t>Status</t>
  </si>
  <si>
    <t>East</t>
  </si>
  <si>
    <t>Ramesh</t>
  </si>
  <si>
    <t>Laptop</t>
  </si>
  <si>
    <t>Delivered</t>
  </si>
  <si>
    <t>West</t>
  </si>
  <si>
    <t>Sita</t>
  </si>
  <si>
    <t>Mouse</t>
  </si>
  <si>
    <t>Pending</t>
  </si>
  <si>
    <t>North</t>
  </si>
  <si>
    <t>Ravi</t>
  </si>
  <si>
    <t>Keyboard</t>
  </si>
  <si>
    <t>Priya</t>
  </si>
  <si>
    <t>Monitor</t>
  </si>
  <si>
    <t>Cancelled</t>
  </si>
  <si>
    <t>South</t>
  </si>
  <si>
    <t>Ajay</t>
  </si>
  <si>
    <t>Sum of Total Sales of Laptop Category</t>
  </si>
  <si>
    <t>Sum of Total Sales of Region Wise</t>
  </si>
  <si>
    <t>Sum of Quantity by Sales Person</t>
  </si>
  <si>
    <t>Multiple Criterias in Sumifs</t>
  </si>
  <si>
    <t xml:space="preserve">Multiple Criterias in Sumifs to sumf total sales of east and devilered / cancelled </t>
  </si>
  <si>
    <t xml:space="preserve">Multiple Criterias in Sumifs to sumf total sales of west and devilered / cancelled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</si>
</sst>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  <xf numFmtId="0" fontId="0" fillId="2" borderId="0" xfId="0" applyFill="1" applyAlignment="1">
      <alignment horizontal="center"/>
    </xf>
    <xf numFmtId="0" fontId="0" fillId="3" borderId="0" xfId="0" applyFill="1"/>
    <xf numFmtId="0" fontId="1" fillId="4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3E9BE-1D7A-42CE-997C-A70DE2DBC3E7}">
  <dimension ref="A1:I11"/>
  <sheetViews>
    <sheetView workbookViewId="0">
      <selection activeCell="I11" sqref="I11"/>
    </sheetView>
  </sheetViews>
  <sheetFormatPr defaultRowHeight="14.4" x14ac:dyDescent="0.3"/>
  <cols>
    <col min="1" max="1" width="12.109375" customWidth="1"/>
    <col min="2" max="2" width="12.6640625" customWidth="1"/>
    <col min="3" max="3" width="10.6640625" customWidth="1"/>
    <col min="4" max="4" width="12.5546875" customWidth="1"/>
    <col min="5" max="5" width="12.109375" customWidth="1"/>
    <col min="7" max="7" width="13" customWidth="1"/>
    <col min="8" max="8" width="12.33203125" customWidth="1"/>
    <col min="9" max="9" width="13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1001</v>
      </c>
      <c r="B2" s="3">
        <v>45292</v>
      </c>
      <c r="C2" s="2" t="s">
        <v>9</v>
      </c>
      <c r="D2" s="2" t="s">
        <v>10</v>
      </c>
      <c r="E2" s="2" t="s">
        <v>11</v>
      </c>
      <c r="F2" s="2">
        <v>3</v>
      </c>
      <c r="G2" s="4">
        <v>55000</v>
      </c>
      <c r="H2" s="2">
        <v>165000</v>
      </c>
      <c r="I2" s="2" t="s">
        <v>12</v>
      </c>
    </row>
    <row r="3" spans="1:9" x14ac:dyDescent="0.3">
      <c r="A3" s="2">
        <v>1002</v>
      </c>
      <c r="B3" s="3">
        <v>45293</v>
      </c>
      <c r="C3" s="2" t="s">
        <v>13</v>
      </c>
      <c r="D3" s="2" t="s">
        <v>14</v>
      </c>
      <c r="E3" s="2" t="s">
        <v>15</v>
      </c>
      <c r="F3" s="2">
        <v>10</v>
      </c>
      <c r="G3" s="2">
        <v>500</v>
      </c>
      <c r="H3" s="2">
        <v>5000</v>
      </c>
      <c r="I3" s="2" t="s">
        <v>16</v>
      </c>
    </row>
    <row r="4" spans="1:9" x14ac:dyDescent="0.3">
      <c r="A4" s="2">
        <v>1003</v>
      </c>
      <c r="B4" s="3">
        <v>45294</v>
      </c>
      <c r="C4" s="2" t="s">
        <v>17</v>
      </c>
      <c r="D4" s="2" t="s">
        <v>18</v>
      </c>
      <c r="E4" s="2" t="s">
        <v>19</v>
      </c>
      <c r="F4" s="2">
        <v>5</v>
      </c>
      <c r="G4" s="2">
        <v>1200</v>
      </c>
      <c r="H4" s="2">
        <v>6000</v>
      </c>
      <c r="I4" s="2" t="s">
        <v>12</v>
      </c>
    </row>
    <row r="5" spans="1:9" x14ac:dyDescent="0.3">
      <c r="A5" s="2">
        <v>1004</v>
      </c>
      <c r="B5" s="3">
        <v>45295</v>
      </c>
      <c r="C5" s="2" t="s">
        <v>9</v>
      </c>
      <c r="D5" s="2" t="s">
        <v>20</v>
      </c>
      <c r="E5" s="2" t="s">
        <v>21</v>
      </c>
      <c r="F5" s="2">
        <v>2</v>
      </c>
      <c r="G5" s="2">
        <v>9000</v>
      </c>
      <c r="H5" s="2">
        <v>18000</v>
      </c>
      <c r="I5" s="2" t="s">
        <v>22</v>
      </c>
    </row>
    <row r="6" spans="1:9" x14ac:dyDescent="0.3">
      <c r="A6" s="2">
        <v>1005</v>
      </c>
      <c r="B6" s="3">
        <v>45296</v>
      </c>
      <c r="C6" s="2" t="s">
        <v>23</v>
      </c>
      <c r="D6" s="2" t="s">
        <v>10</v>
      </c>
      <c r="E6" s="2" t="s">
        <v>11</v>
      </c>
      <c r="F6" s="2">
        <v>1</v>
      </c>
      <c r="G6" s="2">
        <v>60000</v>
      </c>
      <c r="H6" s="2">
        <v>60000</v>
      </c>
      <c r="I6" s="2" t="s">
        <v>12</v>
      </c>
    </row>
    <row r="7" spans="1:9" x14ac:dyDescent="0.3">
      <c r="A7" s="2">
        <v>1006</v>
      </c>
      <c r="B7" s="3">
        <v>45297</v>
      </c>
      <c r="C7" s="2" t="s">
        <v>13</v>
      </c>
      <c r="D7" s="2" t="s">
        <v>14</v>
      </c>
      <c r="E7" s="2" t="s">
        <v>19</v>
      </c>
      <c r="F7" s="2">
        <v>4</v>
      </c>
      <c r="G7" s="2">
        <v>1000</v>
      </c>
      <c r="H7" s="2">
        <v>4000</v>
      </c>
      <c r="I7" s="2" t="s">
        <v>12</v>
      </c>
    </row>
    <row r="8" spans="1:9" x14ac:dyDescent="0.3">
      <c r="A8" s="2">
        <v>1007</v>
      </c>
      <c r="B8" s="3">
        <v>45298</v>
      </c>
      <c r="C8" s="2" t="s">
        <v>17</v>
      </c>
      <c r="D8" s="2" t="s">
        <v>24</v>
      </c>
      <c r="E8" s="2" t="s">
        <v>11</v>
      </c>
      <c r="F8" s="2">
        <v>2</v>
      </c>
      <c r="G8" s="2">
        <v>58000</v>
      </c>
      <c r="H8" s="2">
        <v>116000</v>
      </c>
      <c r="I8" s="2" t="s">
        <v>16</v>
      </c>
    </row>
    <row r="9" spans="1:9" x14ac:dyDescent="0.3">
      <c r="A9" s="2">
        <v>1008</v>
      </c>
      <c r="B9" s="3">
        <v>45299</v>
      </c>
      <c r="C9" s="2" t="s">
        <v>9</v>
      </c>
      <c r="D9" s="2" t="s">
        <v>20</v>
      </c>
      <c r="E9" s="2" t="s">
        <v>15</v>
      </c>
      <c r="F9" s="2">
        <v>20</v>
      </c>
      <c r="G9" s="2">
        <v>400</v>
      </c>
      <c r="H9" s="2">
        <v>8000</v>
      </c>
      <c r="I9" s="2" t="s">
        <v>12</v>
      </c>
    </row>
    <row r="10" spans="1:9" x14ac:dyDescent="0.3">
      <c r="A10" s="2">
        <v>1009</v>
      </c>
      <c r="B10" s="3">
        <v>45300</v>
      </c>
      <c r="C10" s="2" t="s">
        <v>23</v>
      </c>
      <c r="D10" s="2" t="s">
        <v>18</v>
      </c>
      <c r="E10" s="2" t="s">
        <v>21</v>
      </c>
      <c r="F10" s="2">
        <v>1</v>
      </c>
      <c r="G10" s="2">
        <v>8500</v>
      </c>
      <c r="H10" s="2">
        <v>8500</v>
      </c>
      <c r="I10" s="2" t="s">
        <v>12</v>
      </c>
    </row>
    <row r="11" spans="1:9" x14ac:dyDescent="0.3">
      <c r="A11" s="2">
        <v>1010</v>
      </c>
      <c r="B11" s="3">
        <v>45301</v>
      </c>
      <c r="C11" s="2" t="s">
        <v>13</v>
      </c>
      <c r="D11" s="2" t="s">
        <v>10</v>
      </c>
      <c r="E11" s="2" t="s">
        <v>11</v>
      </c>
      <c r="F11" s="2">
        <v>2</v>
      </c>
      <c r="G11" s="2">
        <v>57000</v>
      </c>
      <c r="H11" s="2">
        <v>114000</v>
      </c>
      <c r="I11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BE59F-228A-4F9B-B5E3-86D749E3687C}">
  <dimension ref="A1:B18"/>
  <sheetViews>
    <sheetView workbookViewId="0">
      <selection activeCell="A2" sqref="A2:B2"/>
    </sheetView>
  </sheetViews>
  <sheetFormatPr defaultRowHeight="14.4" x14ac:dyDescent="0.3"/>
  <cols>
    <col min="1" max="1" width="13.109375" customWidth="1"/>
    <col min="2" max="2" width="27.21875" customWidth="1"/>
  </cols>
  <sheetData>
    <row r="1" spans="1:2" x14ac:dyDescent="0.3">
      <c r="A1" s="5" t="s">
        <v>25</v>
      </c>
      <c r="B1" s="5"/>
    </row>
    <row r="2" spans="1:2" ht="24" customHeight="1" x14ac:dyDescent="0.3">
      <c r="A2" s="7" t="s">
        <v>4</v>
      </c>
      <c r="B2" s="7" t="s">
        <v>7</v>
      </c>
    </row>
    <row r="3" spans="1:2" x14ac:dyDescent="0.3">
      <c r="A3" s="2" t="s">
        <v>11</v>
      </c>
      <c r="B3" s="6">
        <f>SUMIF(Data!E1:E11,Sumif!A3,Data!H1:H11)</f>
        <v>455000</v>
      </c>
    </row>
    <row r="7" spans="1:2" x14ac:dyDescent="0.3">
      <c r="A7" s="5" t="s">
        <v>27</v>
      </c>
      <c r="B7" s="5"/>
    </row>
    <row r="8" spans="1:2" x14ac:dyDescent="0.3">
      <c r="A8" s="7" t="s">
        <v>3</v>
      </c>
      <c r="B8" s="7" t="s">
        <v>5</v>
      </c>
    </row>
    <row r="9" spans="1:2" x14ac:dyDescent="0.3">
      <c r="A9" s="2" t="s">
        <v>10</v>
      </c>
      <c r="B9" s="6">
        <f>SUMIF(Data!D1:D11,Sumif!A9,Data!F1:F11)</f>
        <v>6</v>
      </c>
    </row>
    <row r="13" spans="1:2" x14ac:dyDescent="0.3">
      <c r="A13" s="5" t="s">
        <v>26</v>
      </c>
      <c r="B13" s="5"/>
    </row>
    <row r="14" spans="1:2" x14ac:dyDescent="0.3">
      <c r="A14" s="7" t="s">
        <v>2</v>
      </c>
      <c r="B14" s="7" t="s">
        <v>7</v>
      </c>
    </row>
    <row r="15" spans="1:2" x14ac:dyDescent="0.3">
      <c r="A15" t="s">
        <v>9</v>
      </c>
      <c r="B15" s="6">
        <f>SUMIF(Data!C1:C11,Sumif!A15,Data!H1:H11)</f>
        <v>191000</v>
      </c>
    </row>
    <row r="16" spans="1:2" x14ac:dyDescent="0.3">
      <c r="A16" t="s">
        <v>13</v>
      </c>
      <c r="B16" s="6">
        <f>SUMIF(Data!C2:C12,A16,Data!H2:H12)</f>
        <v>123000</v>
      </c>
    </row>
    <row r="17" spans="1:2" x14ac:dyDescent="0.3">
      <c r="A17" t="s">
        <v>17</v>
      </c>
      <c r="B17" s="6">
        <f>SUMIF(Data!C3:C13,A17,Data!H3:H13)</f>
        <v>122000</v>
      </c>
    </row>
    <row r="18" spans="1:2" x14ac:dyDescent="0.3">
      <c r="A18" t="s">
        <v>23</v>
      </c>
      <c r="B18" s="6">
        <f>SUMIF(Data!C4:C14,A18,Data!H4:H14)</f>
        <v>68500</v>
      </c>
    </row>
  </sheetData>
  <mergeCells count="3">
    <mergeCell ref="A1:B1"/>
    <mergeCell ref="A7:B7"/>
    <mergeCell ref="A13:B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ACF1A-E9D6-4CAA-AE67-A65ADD8281D5}">
  <dimension ref="A2:E20"/>
  <sheetViews>
    <sheetView tabSelected="1" workbookViewId="0">
      <selection activeCell="F17" sqref="F17"/>
    </sheetView>
  </sheetViews>
  <sheetFormatPr defaultRowHeight="14.4" x14ac:dyDescent="0.3"/>
  <cols>
    <col min="1" max="1" width="14.109375" customWidth="1"/>
    <col min="2" max="2" width="11.6640625" customWidth="1"/>
    <col min="3" max="3" width="23.6640625" customWidth="1"/>
  </cols>
  <sheetData>
    <row r="2" spans="1:3" x14ac:dyDescent="0.3">
      <c r="A2" s="5" t="s">
        <v>28</v>
      </c>
      <c r="B2" s="5"/>
      <c r="C2" s="5"/>
    </row>
    <row r="3" spans="1:3" x14ac:dyDescent="0.3">
      <c r="A3" s="1" t="s">
        <v>3</v>
      </c>
      <c r="B3" s="1" t="s">
        <v>4</v>
      </c>
      <c r="C3" s="1" t="s">
        <v>7</v>
      </c>
    </row>
    <row r="4" spans="1:3" x14ac:dyDescent="0.3">
      <c r="A4" s="2" t="s">
        <v>10</v>
      </c>
      <c r="B4" s="2" t="s">
        <v>11</v>
      </c>
      <c r="C4" s="6">
        <f>SUMIFS(Data!H1:H11,Data!D1:D11,Sumifs!A4,Data!E1:E11,Sumifs!B4)</f>
        <v>339000</v>
      </c>
    </row>
    <row r="9" spans="1:3" ht="25.8" customHeight="1" x14ac:dyDescent="0.3">
      <c r="A9" s="8" t="s">
        <v>29</v>
      </c>
      <c r="B9" s="8"/>
      <c r="C9" s="8"/>
    </row>
    <row r="10" spans="1:3" x14ac:dyDescent="0.3">
      <c r="A10" s="1" t="s">
        <v>2</v>
      </c>
      <c r="B10" s="1" t="s">
        <v>8</v>
      </c>
      <c r="C10" s="1" t="s">
        <v>7</v>
      </c>
    </row>
    <row r="11" spans="1:3" x14ac:dyDescent="0.3">
      <c r="A11" s="2" t="s">
        <v>9</v>
      </c>
      <c r="B11" s="2" t="s">
        <v>12</v>
      </c>
      <c r="C11">
        <f>SUMIFS(Data!H1:H11,Data!C1:C11,Data!C2,Data!I1:I11,Data!I2)</f>
        <v>173000</v>
      </c>
    </row>
    <row r="12" spans="1:3" x14ac:dyDescent="0.3">
      <c r="A12" s="2" t="s">
        <v>9</v>
      </c>
      <c r="B12" s="2" t="s">
        <v>22</v>
      </c>
      <c r="C12">
        <f>SUMIFS(Data!H2:H12,Data!C2:C12,Data!C3,Data!I2:I12,Data!I3)</f>
        <v>5000</v>
      </c>
    </row>
    <row r="13" spans="1:3" x14ac:dyDescent="0.3">
      <c r="A13" s="2"/>
      <c r="B13" s="2"/>
    </row>
    <row r="14" spans="1:3" x14ac:dyDescent="0.3">
      <c r="A14" s="2"/>
      <c r="B14" s="2"/>
    </row>
    <row r="15" spans="1:3" x14ac:dyDescent="0.3">
      <c r="A15" s="2"/>
      <c r="B15" s="2"/>
    </row>
    <row r="16" spans="1:3" ht="27" customHeight="1" x14ac:dyDescent="0.3">
      <c r="A16" s="8" t="s">
        <v>30</v>
      </c>
      <c r="B16" s="8"/>
      <c r="C16" s="8"/>
    </row>
    <row r="17" spans="1:5" x14ac:dyDescent="0.3">
      <c r="A17" s="1" t="s">
        <v>2</v>
      </c>
      <c r="B17" s="1" t="s">
        <v>8</v>
      </c>
      <c r="C17" s="1" t="s">
        <v>7</v>
      </c>
    </row>
    <row r="18" spans="1:5" x14ac:dyDescent="0.3">
      <c r="A18" s="2" t="s">
        <v>13</v>
      </c>
      <c r="B18" s="2" t="s">
        <v>12</v>
      </c>
      <c r="C18" s="9">
        <f>SUMIFS(Data!F1:F11,Data!C1:C11,Data!C3,Data!I1:I11,Data!I2)</f>
        <v>4</v>
      </c>
      <c r="E18" s="9"/>
    </row>
    <row r="19" spans="1:5" x14ac:dyDescent="0.3">
      <c r="A19" s="2" t="s">
        <v>13</v>
      </c>
      <c r="B19" s="2" t="s">
        <v>22</v>
      </c>
      <c r="C19" s="9">
        <f>SUMIFS(Data!F1:F11,Data!C1:C11,Data!C3,Data!I1:I11,Data!I11)</f>
        <v>2</v>
      </c>
    </row>
    <row r="20" spans="1:5" x14ac:dyDescent="0.3">
      <c r="A20" s="2"/>
      <c r="B20" s="2"/>
    </row>
  </sheetData>
  <mergeCells count="3">
    <mergeCell ref="A2:C2"/>
    <mergeCell ref="A9:C9"/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Sumif</vt:lpstr>
      <vt:lpstr>Sumifs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 Gadarla</dc:creator>
  <cp:lastModifiedBy>Rohini Gadarla</cp:lastModifiedBy>
  <dcterms:created xsi:type="dcterms:W3CDTF">2025-11-13T05:00:52Z</dcterms:created>
  <dcterms:modified xsi:type="dcterms:W3CDTF">2025-11-13T05:53:01Z</dcterms:modified>
</cp:coreProperties>
</file>