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dar\OneDrive\Desktop\EXCEL\"/>
    </mc:Choice>
  </mc:AlternateContent>
  <xr:revisionPtr revIDLastSave="0" documentId="13_ncr:1_{29573817-ED5F-47A8-AD52-E8CA6A645A07}" xr6:coauthVersionLast="47" xr6:coauthVersionMax="47" xr10:uidLastSave="{00000000-0000-0000-0000-000000000000}"/>
  <bookViews>
    <workbookView xWindow="-108" yWindow="-108" windowWidth="23256" windowHeight="12456" activeTab="2" xr2:uid="{D7A75637-0FD6-498A-AA62-DA58E95CD1B5}"/>
  </bookViews>
  <sheets>
    <sheet name="Data" sheetId="1" r:id="rId1"/>
    <sheet name="Filter with Single Criteria" sheetId="2" r:id="rId2"/>
    <sheet name="Filter with Multiple Criteri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" i="3" l="1" a="1"/>
  <c r="A18" i="3" s="1"/>
  <c r="A10" i="3" a="1"/>
  <c r="A10" i="3" s="1"/>
  <c r="A3" i="3" a="1"/>
  <c r="A3" i="3" s="1"/>
  <c r="K17" i="2" a="1"/>
  <c r="K17" i="2" s="1"/>
  <c r="K8" i="2" a="1"/>
  <c r="K8" i="2" s="1"/>
  <c r="K2" i="2" a="1"/>
  <c r="K2" i="2" s="1"/>
  <c r="A22" i="2" a="1"/>
  <c r="A22" i="2" s="1"/>
  <c r="A17" i="2" a="1"/>
  <c r="A17" i="2" s="1"/>
  <c r="A2" i="2" a="1"/>
  <c r="A2" i="2" s="1"/>
  <c r="A8" i="2" a="1"/>
  <c r="A8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<sst xmlns="http://schemas.openxmlformats.org/spreadsheetml/2006/main" count="59" uniqueCount="35">
  <si>
    <t>Order ID</t>
  </si>
  <si>
    <t>Date</t>
  </si>
  <si>
    <t>Region</t>
  </si>
  <si>
    <t>Salesperson</t>
  </si>
  <si>
    <t>Product</t>
  </si>
  <si>
    <t>Quantity</t>
  </si>
  <si>
    <t>Unit Price</t>
  </si>
  <si>
    <t>Total Sales</t>
  </si>
  <si>
    <t>Status</t>
  </si>
  <si>
    <t>East</t>
  </si>
  <si>
    <t>Ramesh</t>
  </si>
  <si>
    <t>Laptop</t>
  </si>
  <si>
    <t>Delivered</t>
  </si>
  <si>
    <t>West</t>
  </si>
  <si>
    <t>Sita</t>
  </si>
  <si>
    <t>Mouse</t>
  </si>
  <si>
    <t>Pending</t>
  </si>
  <si>
    <t>North</t>
  </si>
  <si>
    <t>Ravi</t>
  </si>
  <si>
    <t>Keyboard</t>
  </si>
  <si>
    <t>Priya</t>
  </si>
  <si>
    <t>Monitor</t>
  </si>
  <si>
    <t>Cancelled</t>
  </si>
  <si>
    <t>South</t>
  </si>
  <si>
    <t>Ajay</t>
  </si>
  <si>
    <t>FILTER ONLY DELIVERED STATUS RECORDS</t>
  </si>
  <si>
    <t>FILTER ONLY EAST REGION RECORDS</t>
  </si>
  <si>
    <t>FILTER ONLY CANCELLED STATUS RECORDS</t>
  </si>
  <si>
    <t>FILTER ONLY LAPTOP RECORDS</t>
  </si>
  <si>
    <t>FILTER ONLY QUANTITY &gt; 5 RECORDS</t>
  </si>
  <si>
    <t>FILTER ONLY UNIT PRICE &gt; 10000 RECORDS</t>
  </si>
  <si>
    <t>FILTER ONLY SALES PIRCE &gt; 50000 RECORDS</t>
  </si>
  <si>
    <t>FILTERING WEST REGION &amp; SALES PRICE &gt;=3000 RECORDS</t>
  </si>
  <si>
    <t>FILTERING RAMESH  &amp; QUANTITY &gt;=1 RECORDS</t>
  </si>
  <si>
    <t>FILTERING NORTH REGION &amp; DELIVERED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</si>
</sst>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1DD5-D07E-4616-A54E-13ACE3233D74}">
  <dimension ref="A1:I11"/>
  <sheetViews>
    <sheetView workbookViewId="0">
      <selection activeCell="B21" sqref="B21"/>
    </sheetView>
  </sheetViews>
  <sheetFormatPr defaultColWidth="14.6640625"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1001</v>
      </c>
      <c r="B2" s="3">
        <v>45292</v>
      </c>
      <c r="C2" s="2" t="s">
        <v>9</v>
      </c>
      <c r="D2" s="2" t="s">
        <v>10</v>
      </c>
      <c r="E2" s="2" t="s">
        <v>11</v>
      </c>
      <c r="F2" s="2">
        <v>3</v>
      </c>
      <c r="G2" s="2">
        <v>55000</v>
      </c>
      <c r="H2" s="2">
        <v>165000</v>
      </c>
      <c r="I2" s="2" t="s">
        <v>12</v>
      </c>
    </row>
    <row r="3" spans="1:9" x14ac:dyDescent="0.3">
      <c r="A3" s="2">
        <v>1002</v>
      </c>
      <c r="B3" s="3">
        <v>45293</v>
      </c>
      <c r="C3" s="2" t="s">
        <v>13</v>
      </c>
      <c r="D3" s="2" t="s">
        <v>14</v>
      </c>
      <c r="E3" s="2" t="s">
        <v>15</v>
      </c>
      <c r="F3" s="2">
        <v>10</v>
      </c>
      <c r="G3" s="2">
        <v>500</v>
      </c>
      <c r="H3" s="2">
        <v>5000</v>
      </c>
      <c r="I3" s="2" t="s">
        <v>16</v>
      </c>
    </row>
    <row r="4" spans="1:9" x14ac:dyDescent="0.3">
      <c r="A4" s="2">
        <v>1003</v>
      </c>
      <c r="B4" s="3">
        <v>45294</v>
      </c>
      <c r="C4" s="2" t="s">
        <v>17</v>
      </c>
      <c r="D4" s="2" t="s">
        <v>18</v>
      </c>
      <c r="E4" s="2" t="s">
        <v>19</v>
      </c>
      <c r="F4" s="2">
        <v>5</v>
      </c>
      <c r="G4" s="2">
        <v>1200</v>
      </c>
      <c r="H4" s="2">
        <v>6000</v>
      </c>
      <c r="I4" s="2" t="s">
        <v>12</v>
      </c>
    </row>
    <row r="5" spans="1:9" x14ac:dyDescent="0.3">
      <c r="A5" s="2">
        <v>1004</v>
      </c>
      <c r="B5" s="3">
        <v>45295</v>
      </c>
      <c r="C5" s="2" t="s">
        <v>9</v>
      </c>
      <c r="D5" s="2" t="s">
        <v>20</v>
      </c>
      <c r="E5" s="2" t="s">
        <v>21</v>
      </c>
      <c r="F5" s="2">
        <v>2</v>
      </c>
      <c r="G5" s="2">
        <v>9000</v>
      </c>
      <c r="H5" s="2">
        <v>18000</v>
      </c>
      <c r="I5" s="2" t="s">
        <v>22</v>
      </c>
    </row>
    <row r="6" spans="1:9" x14ac:dyDescent="0.3">
      <c r="A6" s="2">
        <v>1005</v>
      </c>
      <c r="B6" s="3">
        <v>45296</v>
      </c>
      <c r="C6" s="2" t="s">
        <v>23</v>
      </c>
      <c r="D6" s="2" t="s">
        <v>10</v>
      </c>
      <c r="E6" s="2" t="s">
        <v>11</v>
      </c>
      <c r="F6" s="2">
        <v>1</v>
      </c>
      <c r="G6" s="2">
        <v>60000</v>
      </c>
      <c r="H6" s="2">
        <v>60000</v>
      </c>
      <c r="I6" s="2" t="s">
        <v>12</v>
      </c>
    </row>
    <row r="7" spans="1:9" x14ac:dyDescent="0.3">
      <c r="A7" s="2">
        <v>1006</v>
      </c>
      <c r="B7" s="3">
        <v>45297</v>
      </c>
      <c r="C7" s="2" t="s">
        <v>13</v>
      </c>
      <c r="D7" s="2" t="s">
        <v>14</v>
      </c>
      <c r="E7" s="2" t="s">
        <v>19</v>
      </c>
      <c r="F7" s="2">
        <v>4</v>
      </c>
      <c r="G7" s="2">
        <v>1000</v>
      </c>
      <c r="H7" s="2">
        <v>4000</v>
      </c>
      <c r="I7" s="2" t="s">
        <v>12</v>
      </c>
    </row>
    <row r="8" spans="1:9" x14ac:dyDescent="0.3">
      <c r="A8" s="2">
        <v>1007</v>
      </c>
      <c r="B8" s="3">
        <v>45298</v>
      </c>
      <c r="C8" s="2" t="s">
        <v>17</v>
      </c>
      <c r="D8" s="2" t="s">
        <v>24</v>
      </c>
      <c r="E8" s="2" t="s">
        <v>11</v>
      </c>
      <c r="F8" s="2">
        <v>2</v>
      </c>
      <c r="G8" s="2">
        <v>58000</v>
      </c>
      <c r="H8" s="2">
        <v>116000</v>
      </c>
      <c r="I8" s="2" t="s">
        <v>16</v>
      </c>
    </row>
    <row r="9" spans="1:9" x14ac:dyDescent="0.3">
      <c r="A9" s="2">
        <v>1008</v>
      </c>
      <c r="B9" s="3">
        <v>45299</v>
      </c>
      <c r="C9" s="2" t="s">
        <v>9</v>
      </c>
      <c r="D9" s="2" t="s">
        <v>20</v>
      </c>
      <c r="E9" s="2" t="s">
        <v>15</v>
      </c>
      <c r="F9" s="2">
        <v>20</v>
      </c>
      <c r="G9" s="2">
        <v>400</v>
      </c>
      <c r="H9" s="2">
        <v>8000</v>
      </c>
      <c r="I9" s="2" t="s">
        <v>12</v>
      </c>
    </row>
    <row r="10" spans="1:9" x14ac:dyDescent="0.3">
      <c r="A10" s="2">
        <v>1009</v>
      </c>
      <c r="B10" s="3">
        <v>45300</v>
      </c>
      <c r="C10" s="2" t="s">
        <v>23</v>
      </c>
      <c r="D10" s="2" t="s">
        <v>18</v>
      </c>
      <c r="E10" s="2" t="s">
        <v>21</v>
      </c>
      <c r="F10" s="2">
        <v>1</v>
      </c>
      <c r="G10" s="2">
        <v>8500</v>
      </c>
      <c r="H10" s="2">
        <v>8500</v>
      </c>
      <c r="I10" s="2" t="s">
        <v>12</v>
      </c>
    </row>
    <row r="11" spans="1:9" x14ac:dyDescent="0.3">
      <c r="A11" s="2">
        <v>1010</v>
      </c>
      <c r="B11" s="3">
        <v>45301</v>
      </c>
      <c r="C11" s="2" t="s">
        <v>13</v>
      </c>
      <c r="D11" s="2" t="s">
        <v>10</v>
      </c>
      <c r="E11" s="2" t="s">
        <v>11</v>
      </c>
      <c r="F11" s="2">
        <v>2</v>
      </c>
      <c r="G11" s="2">
        <v>57000</v>
      </c>
      <c r="H11" s="2">
        <v>114000</v>
      </c>
      <c r="I11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8728-F2E3-4CB8-AA22-E029B507587A}">
  <dimension ref="A1:S25"/>
  <sheetViews>
    <sheetView workbookViewId="0">
      <selection sqref="A1:I1"/>
    </sheetView>
  </sheetViews>
  <sheetFormatPr defaultRowHeight="14.4" x14ac:dyDescent="0.3"/>
  <sheetData>
    <row r="1" spans="1:19" x14ac:dyDescent="0.3">
      <c r="A1" s="4" t="s">
        <v>26</v>
      </c>
      <c r="B1" s="4"/>
      <c r="C1" s="4"/>
      <c r="D1" s="4"/>
      <c r="E1" s="4"/>
      <c r="F1" s="4"/>
      <c r="G1" s="4"/>
      <c r="H1" s="4"/>
      <c r="I1" s="4"/>
      <c r="K1" s="4" t="s">
        <v>29</v>
      </c>
      <c r="L1" s="4"/>
      <c r="M1" s="4"/>
      <c r="N1" s="4"/>
      <c r="O1" s="4"/>
      <c r="P1" s="4"/>
      <c r="Q1" s="4"/>
      <c r="R1" s="4"/>
      <c r="S1" s="4"/>
    </row>
    <row r="2" spans="1:19" x14ac:dyDescent="0.3">
      <c r="A2" cm="1">
        <f t="array" ref="A2:I4">_xlfn._xlws.FILTER(Data!A1:I11,Data!C1:C11=Data!C2)</f>
        <v>1001</v>
      </c>
      <c r="B2">
        <v>45292</v>
      </c>
      <c r="C2" t="str">
        <v>East</v>
      </c>
      <c r="D2" t="str">
        <v>Ramesh</v>
      </c>
      <c r="E2" t="str">
        <v>Laptop</v>
      </c>
      <c r="F2">
        <v>3</v>
      </c>
      <c r="G2">
        <v>55000</v>
      </c>
      <c r="H2">
        <v>165000</v>
      </c>
      <c r="I2" t="str">
        <v>Delivered</v>
      </c>
      <c r="K2" t="str" cm="1">
        <f t="array" ref="K2:S4">_xlfn._xlws.FILTER(Data!A1:I11,Data!F1:F11&gt;5)</f>
        <v>Order ID</v>
      </c>
      <c r="L2" t="str">
        <v>Date</v>
      </c>
      <c r="M2" t="str">
        <v>Region</v>
      </c>
      <c r="N2" t="str">
        <v>Salesperson</v>
      </c>
      <c r="O2" t="str">
        <v>Product</v>
      </c>
      <c r="P2" t="str">
        <v>Quantity</v>
      </c>
      <c r="Q2" t="str">
        <v>Unit Price</v>
      </c>
      <c r="R2" t="str">
        <v>Total Sales</v>
      </c>
      <c r="S2" t="str">
        <v>Status</v>
      </c>
    </row>
    <row r="3" spans="1:19" x14ac:dyDescent="0.3">
      <c r="A3">
        <v>1004</v>
      </c>
      <c r="B3">
        <v>45295</v>
      </c>
      <c r="C3" t="str">
        <v>East</v>
      </c>
      <c r="D3" t="str">
        <v>Priya</v>
      </c>
      <c r="E3" t="str">
        <v>Monitor</v>
      </c>
      <c r="F3">
        <v>2</v>
      </c>
      <c r="G3">
        <v>9000</v>
      </c>
      <c r="H3">
        <v>18000</v>
      </c>
      <c r="I3" t="str">
        <v>Cancelled</v>
      </c>
      <c r="K3">
        <v>1002</v>
      </c>
      <c r="L3">
        <v>45293</v>
      </c>
      <c r="M3" t="str">
        <v>West</v>
      </c>
      <c r="N3" t="str">
        <v>Sita</v>
      </c>
      <c r="O3" t="str">
        <v>Mouse</v>
      </c>
      <c r="P3">
        <v>10</v>
      </c>
      <c r="Q3">
        <v>500</v>
      </c>
      <c r="R3">
        <v>5000</v>
      </c>
      <c r="S3" t="str">
        <v>Pending</v>
      </c>
    </row>
    <row r="4" spans="1:19" x14ac:dyDescent="0.3">
      <c r="A4">
        <v>1008</v>
      </c>
      <c r="B4">
        <v>45299</v>
      </c>
      <c r="C4" t="str">
        <v>East</v>
      </c>
      <c r="D4" t="str">
        <v>Priya</v>
      </c>
      <c r="E4" t="str">
        <v>Mouse</v>
      </c>
      <c r="F4">
        <v>20</v>
      </c>
      <c r="G4">
        <v>400</v>
      </c>
      <c r="H4">
        <v>8000</v>
      </c>
      <c r="I4" t="str">
        <v>Delivered</v>
      </c>
      <c r="K4">
        <v>1008</v>
      </c>
      <c r="L4">
        <v>45299</v>
      </c>
      <c r="M4" t="str">
        <v>East</v>
      </c>
      <c r="N4" t="str">
        <v>Priya</v>
      </c>
      <c r="O4" t="str">
        <v>Mouse</v>
      </c>
      <c r="P4">
        <v>20</v>
      </c>
      <c r="Q4">
        <v>400</v>
      </c>
      <c r="R4">
        <v>8000</v>
      </c>
      <c r="S4" t="str">
        <v>Delivered</v>
      </c>
    </row>
    <row r="7" spans="1:19" ht="14.4" customHeight="1" x14ac:dyDescent="0.3">
      <c r="A7" s="5" t="s">
        <v>25</v>
      </c>
      <c r="B7" s="5"/>
      <c r="C7" s="5"/>
      <c r="D7" s="5"/>
      <c r="E7" s="5"/>
      <c r="F7" s="5"/>
      <c r="G7" s="5"/>
      <c r="H7" s="5"/>
      <c r="I7" s="5"/>
      <c r="K7" s="4" t="s">
        <v>30</v>
      </c>
      <c r="L7" s="4"/>
      <c r="M7" s="4"/>
      <c r="N7" s="4"/>
      <c r="O7" s="4"/>
      <c r="P7" s="4"/>
      <c r="Q7" s="4"/>
      <c r="R7" s="4"/>
      <c r="S7" s="4"/>
    </row>
    <row r="8" spans="1:19" x14ac:dyDescent="0.3">
      <c r="A8" cm="1">
        <f t="array" ref="A8:I13">_xlfn._xlws.FILTER(Data!A1:I11,Data!I1:I11=Data!I2)</f>
        <v>1001</v>
      </c>
      <c r="B8">
        <v>45292</v>
      </c>
      <c r="C8" t="str">
        <v>East</v>
      </c>
      <c r="D8" t="str">
        <v>Ramesh</v>
      </c>
      <c r="E8" t="str">
        <v>Laptop</v>
      </c>
      <c r="F8">
        <v>3</v>
      </c>
      <c r="G8">
        <v>55000</v>
      </c>
      <c r="H8">
        <v>165000</v>
      </c>
      <c r="I8" t="str">
        <v>Delivered</v>
      </c>
      <c r="K8" t="str" cm="1">
        <f t="array" ref="K8:S12">_xlfn._xlws.FILTER(Data!A1:I11,Data!G1:G11&gt;10000)</f>
        <v>Order ID</v>
      </c>
      <c r="L8" t="str">
        <v>Date</v>
      </c>
      <c r="M8" t="str">
        <v>Region</v>
      </c>
      <c r="N8" t="str">
        <v>Salesperson</v>
      </c>
      <c r="O8" t="str">
        <v>Product</v>
      </c>
      <c r="P8" t="str">
        <v>Quantity</v>
      </c>
      <c r="Q8" t="str">
        <v>Unit Price</v>
      </c>
      <c r="R8" t="str">
        <v>Total Sales</v>
      </c>
      <c r="S8" t="str">
        <v>Status</v>
      </c>
    </row>
    <row r="9" spans="1:19" x14ac:dyDescent="0.3">
      <c r="A9">
        <v>1003</v>
      </c>
      <c r="B9">
        <v>45294</v>
      </c>
      <c r="C9" t="str">
        <v>North</v>
      </c>
      <c r="D9" t="str">
        <v>Ravi</v>
      </c>
      <c r="E9" t="str">
        <v>Keyboard</v>
      </c>
      <c r="F9">
        <v>5</v>
      </c>
      <c r="G9">
        <v>1200</v>
      </c>
      <c r="H9">
        <v>6000</v>
      </c>
      <c r="I9" t="str">
        <v>Delivered</v>
      </c>
      <c r="K9">
        <v>1001</v>
      </c>
      <c r="L9">
        <v>45292</v>
      </c>
      <c r="M9" t="str">
        <v>East</v>
      </c>
      <c r="N9" t="str">
        <v>Ramesh</v>
      </c>
      <c r="O9" t="str">
        <v>Laptop</v>
      </c>
      <c r="P9">
        <v>3</v>
      </c>
      <c r="Q9">
        <v>55000</v>
      </c>
      <c r="R9">
        <v>165000</v>
      </c>
      <c r="S9" t="str">
        <v>Delivered</v>
      </c>
    </row>
    <row r="10" spans="1:19" x14ac:dyDescent="0.3">
      <c r="A10">
        <v>1005</v>
      </c>
      <c r="B10">
        <v>45296</v>
      </c>
      <c r="C10" t="str">
        <v>South</v>
      </c>
      <c r="D10" t="str">
        <v>Ramesh</v>
      </c>
      <c r="E10" t="str">
        <v>Laptop</v>
      </c>
      <c r="F10">
        <v>1</v>
      </c>
      <c r="G10">
        <v>60000</v>
      </c>
      <c r="H10">
        <v>60000</v>
      </c>
      <c r="I10" t="str">
        <v>Delivered</v>
      </c>
      <c r="K10">
        <v>1005</v>
      </c>
      <c r="L10">
        <v>45296</v>
      </c>
      <c r="M10" t="str">
        <v>South</v>
      </c>
      <c r="N10" t="str">
        <v>Ramesh</v>
      </c>
      <c r="O10" t="str">
        <v>Laptop</v>
      </c>
      <c r="P10">
        <v>1</v>
      </c>
      <c r="Q10">
        <v>60000</v>
      </c>
      <c r="R10">
        <v>60000</v>
      </c>
      <c r="S10" t="str">
        <v>Delivered</v>
      </c>
    </row>
    <row r="11" spans="1:19" x14ac:dyDescent="0.3">
      <c r="A11">
        <v>1006</v>
      </c>
      <c r="B11">
        <v>45297</v>
      </c>
      <c r="C11" t="str">
        <v>West</v>
      </c>
      <c r="D11" t="str">
        <v>Sita</v>
      </c>
      <c r="E11" t="str">
        <v>Keyboard</v>
      </c>
      <c r="F11">
        <v>4</v>
      </c>
      <c r="G11">
        <v>1000</v>
      </c>
      <c r="H11">
        <v>4000</v>
      </c>
      <c r="I11" t="str">
        <v>Delivered</v>
      </c>
      <c r="K11">
        <v>1007</v>
      </c>
      <c r="L11">
        <v>45298</v>
      </c>
      <c r="M11" t="str">
        <v>North</v>
      </c>
      <c r="N11" t="str">
        <v>Ajay</v>
      </c>
      <c r="O11" t="str">
        <v>Laptop</v>
      </c>
      <c r="P11">
        <v>2</v>
      </c>
      <c r="Q11">
        <v>58000</v>
      </c>
      <c r="R11">
        <v>116000</v>
      </c>
      <c r="S11" t="str">
        <v>Pending</v>
      </c>
    </row>
    <row r="12" spans="1:19" x14ac:dyDescent="0.3">
      <c r="A12">
        <v>1008</v>
      </c>
      <c r="B12">
        <v>45299</v>
      </c>
      <c r="C12" t="str">
        <v>East</v>
      </c>
      <c r="D12" t="str">
        <v>Priya</v>
      </c>
      <c r="E12" t="str">
        <v>Mouse</v>
      </c>
      <c r="F12">
        <v>20</v>
      </c>
      <c r="G12">
        <v>400</v>
      </c>
      <c r="H12">
        <v>8000</v>
      </c>
      <c r="I12" t="str">
        <v>Delivered</v>
      </c>
      <c r="K12">
        <v>1010</v>
      </c>
      <c r="L12">
        <v>45301</v>
      </c>
      <c r="M12" t="str">
        <v>West</v>
      </c>
      <c r="N12" t="str">
        <v>Ramesh</v>
      </c>
      <c r="O12" t="str">
        <v>Laptop</v>
      </c>
      <c r="P12">
        <v>2</v>
      </c>
      <c r="Q12">
        <v>57000</v>
      </c>
      <c r="R12">
        <v>114000</v>
      </c>
      <c r="S12" t="str">
        <v>Cancelled</v>
      </c>
    </row>
    <row r="13" spans="1:19" x14ac:dyDescent="0.3">
      <c r="A13">
        <v>1009</v>
      </c>
      <c r="B13">
        <v>45300</v>
      </c>
      <c r="C13" t="str">
        <v>South</v>
      </c>
      <c r="D13" t="str">
        <v>Ravi</v>
      </c>
      <c r="E13" t="str">
        <v>Monitor</v>
      </c>
      <c r="F13">
        <v>1</v>
      </c>
      <c r="G13">
        <v>8500</v>
      </c>
      <c r="H13">
        <v>8500</v>
      </c>
      <c r="I13" t="str">
        <v>Delivered</v>
      </c>
    </row>
    <row r="16" spans="1:19" x14ac:dyDescent="0.3">
      <c r="A16" s="5" t="s">
        <v>27</v>
      </c>
      <c r="B16" s="5"/>
      <c r="C16" s="5"/>
      <c r="D16" s="5"/>
      <c r="E16" s="5"/>
      <c r="F16" s="5"/>
      <c r="G16" s="5"/>
      <c r="H16" s="5"/>
      <c r="I16" s="5"/>
      <c r="K16" s="4" t="s">
        <v>31</v>
      </c>
      <c r="L16" s="4"/>
      <c r="M16" s="4"/>
      <c r="N16" s="4"/>
      <c r="O16" s="4"/>
      <c r="P16" s="4"/>
      <c r="Q16" s="4"/>
      <c r="R16" s="4"/>
      <c r="S16" s="4"/>
    </row>
    <row r="17" spans="1:19" x14ac:dyDescent="0.3">
      <c r="A17" cm="1">
        <f t="array" ref="A17:I18">_xlfn._xlws.FILTER(Data!A1:I11,Data!I1:I11=Data!I11)</f>
        <v>1004</v>
      </c>
      <c r="B17">
        <v>45295</v>
      </c>
      <c r="C17" t="str">
        <v>East</v>
      </c>
      <c r="D17" t="str">
        <v>Priya</v>
      </c>
      <c r="E17" t="str">
        <v>Monitor</v>
      </c>
      <c r="F17">
        <v>2</v>
      </c>
      <c r="G17">
        <v>9000</v>
      </c>
      <c r="H17">
        <v>18000</v>
      </c>
      <c r="I17" t="str">
        <v>Cancelled</v>
      </c>
      <c r="K17" t="str" cm="1">
        <f t="array" ref="K17:S21">_xlfn._xlws.FILTER(Data!A1:I11,Data!H1:H11&gt;50000)</f>
        <v>Order ID</v>
      </c>
      <c r="L17" t="str">
        <v>Date</v>
      </c>
      <c r="M17" t="str">
        <v>Region</v>
      </c>
      <c r="N17" t="str">
        <v>Salesperson</v>
      </c>
      <c r="O17" t="str">
        <v>Product</v>
      </c>
      <c r="P17" t="str">
        <v>Quantity</v>
      </c>
      <c r="Q17" t="str">
        <v>Unit Price</v>
      </c>
      <c r="R17" t="str">
        <v>Total Sales</v>
      </c>
      <c r="S17" t="str">
        <v>Status</v>
      </c>
    </row>
    <row r="18" spans="1:19" x14ac:dyDescent="0.3">
      <c r="A18">
        <v>1010</v>
      </c>
      <c r="B18">
        <v>45301</v>
      </c>
      <c r="C18" t="str">
        <v>West</v>
      </c>
      <c r="D18" t="str">
        <v>Ramesh</v>
      </c>
      <c r="E18" t="str">
        <v>Laptop</v>
      </c>
      <c r="F18">
        <v>2</v>
      </c>
      <c r="G18">
        <v>57000</v>
      </c>
      <c r="H18">
        <v>114000</v>
      </c>
      <c r="I18" t="str">
        <v>Cancelled</v>
      </c>
      <c r="K18">
        <v>1001</v>
      </c>
      <c r="L18">
        <v>45292</v>
      </c>
      <c r="M18" t="str">
        <v>East</v>
      </c>
      <c r="N18" t="str">
        <v>Ramesh</v>
      </c>
      <c r="O18" t="str">
        <v>Laptop</v>
      </c>
      <c r="P18">
        <v>3</v>
      </c>
      <c r="Q18">
        <v>55000</v>
      </c>
      <c r="R18">
        <v>165000</v>
      </c>
      <c r="S18" t="str">
        <v>Delivered</v>
      </c>
    </row>
    <row r="19" spans="1:19" x14ac:dyDescent="0.3">
      <c r="K19">
        <v>1005</v>
      </c>
      <c r="L19">
        <v>45296</v>
      </c>
      <c r="M19" t="str">
        <v>South</v>
      </c>
      <c r="N19" t="str">
        <v>Ramesh</v>
      </c>
      <c r="O19" t="str">
        <v>Laptop</v>
      </c>
      <c r="P19">
        <v>1</v>
      </c>
      <c r="Q19">
        <v>60000</v>
      </c>
      <c r="R19">
        <v>60000</v>
      </c>
      <c r="S19" t="str">
        <v>Delivered</v>
      </c>
    </row>
    <row r="20" spans="1:19" x14ac:dyDescent="0.3">
      <c r="K20">
        <v>1007</v>
      </c>
      <c r="L20">
        <v>45298</v>
      </c>
      <c r="M20" t="str">
        <v>North</v>
      </c>
      <c r="N20" t="str">
        <v>Ajay</v>
      </c>
      <c r="O20" t="str">
        <v>Laptop</v>
      </c>
      <c r="P20">
        <v>2</v>
      </c>
      <c r="Q20">
        <v>58000</v>
      </c>
      <c r="R20">
        <v>116000</v>
      </c>
      <c r="S20" t="str">
        <v>Pending</v>
      </c>
    </row>
    <row r="21" spans="1:19" x14ac:dyDescent="0.3">
      <c r="A21" s="5" t="s">
        <v>28</v>
      </c>
      <c r="B21" s="5"/>
      <c r="C21" s="5"/>
      <c r="D21" s="5"/>
      <c r="E21" s="5"/>
      <c r="F21" s="5"/>
      <c r="G21" s="5"/>
      <c r="H21" s="5"/>
      <c r="I21" s="5"/>
      <c r="K21">
        <v>1010</v>
      </c>
      <c r="L21">
        <v>45301</v>
      </c>
      <c r="M21" t="str">
        <v>West</v>
      </c>
      <c r="N21" t="str">
        <v>Ramesh</v>
      </c>
      <c r="O21" t="str">
        <v>Laptop</v>
      </c>
      <c r="P21">
        <v>2</v>
      </c>
      <c r="Q21">
        <v>57000</v>
      </c>
      <c r="R21">
        <v>114000</v>
      </c>
      <c r="S21" t="str">
        <v>Cancelled</v>
      </c>
    </row>
    <row r="22" spans="1:19" x14ac:dyDescent="0.3">
      <c r="A22" cm="1">
        <f t="array" ref="A22:I25">_xlfn._xlws.FILTER(Data!A1:I11,Data!E1:E11=Data!E11)</f>
        <v>1001</v>
      </c>
      <c r="B22">
        <v>45292</v>
      </c>
      <c r="C22" t="str">
        <v>East</v>
      </c>
      <c r="D22" t="str">
        <v>Ramesh</v>
      </c>
      <c r="E22" t="str">
        <v>Laptop</v>
      </c>
      <c r="F22">
        <v>3</v>
      </c>
      <c r="G22">
        <v>55000</v>
      </c>
      <c r="H22">
        <v>165000</v>
      </c>
      <c r="I22" t="str">
        <v>Delivered</v>
      </c>
    </row>
    <row r="23" spans="1:19" x14ac:dyDescent="0.3">
      <c r="A23">
        <v>1005</v>
      </c>
      <c r="B23">
        <v>45296</v>
      </c>
      <c r="C23" t="str">
        <v>South</v>
      </c>
      <c r="D23" t="str">
        <v>Ramesh</v>
      </c>
      <c r="E23" t="str">
        <v>Laptop</v>
      </c>
      <c r="F23">
        <v>1</v>
      </c>
      <c r="G23">
        <v>60000</v>
      </c>
      <c r="H23">
        <v>60000</v>
      </c>
      <c r="I23" t="str">
        <v>Delivered</v>
      </c>
    </row>
    <row r="24" spans="1:19" x14ac:dyDescent="0.3">
      <c r="A24">
        <v>1007</v>
      </c>
      <c r="B24">
        <v>45298</v>
      </c>
      <c r="C24" t="str">
        <v>North</v>
      </c>
      <c r="D24" t="str">
        <v>Ajay</v>
      </c>
      <c r="E24" t="str">
        <v>Laptop</v>
      </c>
      <c r="F24">
        <v>2</v>
      </c>
      <c r="G24">
        <v>58000</v>
      </c>
      <c r="H24">
        <v>116000</v>
      </c>
      <c r="I24" t="str">
        <v>Pending</v>
      </c>
    </row>
    <row r="25" spans="1:19" x14ac:dyDescent="0.3">
      <c r="A25">
        <v>1010</v>
      </c>
      <c r="B25">
        <v>45301</v>
      </c>
      <c r="C25" t="str">
        <v>West</v>
      </c>
      <c r="D25" t="str">
        <v>Ramesh</v>
      </c>
      <c r="E25" t="str">
        <v>Laptop</v>
      </c>
      <c r="F25">
        <v>2</v>
      </c>
      <c r="G25">
        <v>57000</v>
      </c>
      <c r="H25">
        <v>114000</v>
      </c>
      <c r="I25" t="str">
        <v>Cancelled</v>
      </c>
    </row>
  </sheetData>
  <mergeCells count="7">
    <mergeCell ref="A1:I1"/>
    <mergeCell ref="A7:I7"/>
    <mergeCell ref="A16:I16"/>
    <mergeCell ref="A21:I21"/>
    <mergeCell ref="K1:S1"/>
    <mergeCell ref="K7:S7"/>
    <mergeCell ref="K16:S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9081-9230-4AA2-8FE5-05607779E5E9}">
  <dimension ref="A2:I18"/>
  <sheetViews>
    <sheetView tabSelected="1" workbookViewId="0">
      <selection activeCell="N19" sqref="N19"/>
    </sheetView>
  </sheetViews>
  <sheetFormatPr defaultRowHeight="14.4" x14ac:dyDescent="0.3"/>
  <sheetData>
    <row r="2" spans="1:9" x14ac:dyDescent="0.3">
      <c r="A2" s="4" t="s">
        <v>32</v>
      </c>
      <c r="B2" s="4"/>
      <c r="C2" s="4"/>
      <c r="D2" s="4"/>
      <c r="E2" s="4"/>
      <c r="F2" s="4"/>
      <c r="G2" s="4"/>
      <c r="H2" s="4"/>
      <c r="I2" s="4"/>
    </row>
    <row r="3" spans="1:9" x14ac:dyDescent="0.3">
      <c r="A3" cm="1">
        <f t="array" ref="A3:I5">_xlfn._xlws.FILTER(Data!A1:I11,(Data!C1:C11=Data!C3)*(Data!H1:H11&gt;=3000))</f>
        <v>1002</v>
      </c>
      <c r="B3">
        <v>45293</v>
      </c>
      <c r="C3" t="str">
        <v>West</v>
      </c>
      <c r="D3" t="str">
        <v>Sita</v>
      </c>
      <c r="E3" t="str">
        <v>Mouse</v>
      </c>
      <c r="F3">
        <v>10</v>
      </c>
      <c r="G3">
        <v>500</v>
      </c>
      <c r="H3">
        <v>5000</v>
      </c>
      <c r="I3" t="str">
        <v>Pending</v>
      </c>
    </row>
    <row r="4" spans="1:9" x14ac:dyDescent="0.3">
      <c r="A4">
        <v>1006</v>
      </c>
      <c r="B4">
        <v>45297</v>
      </c>
      <c r="C4" t="str">
        <v>West</v>
      </c>
      <c r="D4" t="str">
        <v>Sita</v>
      </c>
      <c r="E4" t="str">
        <v>Keyboard</v>
      </c>
      <c r="F4">
        <v>4</v>
      </c>
      <c r="G4">
        <v>1000</v>
      </c>
      <c r="H4">
        <v>4000</v>
      </c>
      <c r="I4" t="str">
        <v>Delivered</v>
      </c>
    </row>
    <row r="5" spans="1:9" x14ac:dyDescent="0.3">
      <c r="A5">
        <v>1010</v>
      </c>
      <c r="B5">
        <v>45301</v>
      </c>
      <c r="C5" t="str">
        <v>West</v>
      </c>
      <c r="D5" t="str">
        <v>Ramesh</v>
      </c>
      <c r="E5" t="str">
        <v>Laptop</v>
      </c>
      <c r="F5">
        <v>2</v>
      </c>
      <c r="G5">
        <v>57000</v>
      </c>
      <c r="H5">
        <v>114000</v>
      </c>
      <c r="I5" t="str">
        <v>Cancelled</v>
      </c>
    </row>
    <row r="9" spans="1:9" x14ac:dyDescent="0.3">
      <c r="A9" s="4" t="s">
        <v>33</v>
      </c>
      <c r="B9" s="4"/>
      <c r="C9" s="4"/>
      <c r="D9" s="4"/>
      <c r="E9" s="4"/>
      <c r="F9" s="4"/>
      <c r="G9" s="4"/>
      <c r="H9" s="4"/>
      <c r="I9" s="4"/>
    </row>
    <row r="10" spans="1:9" x14ac:dyDescent="0.3">
      <c r="A10" cm="1">
        <f t="array" ref="A10:I12">_xlfn._xlws.FILTER(Data!A1:I11,(Data!D1:D11=Data!D6)*(Data!F1:F11&gt;=1))</f>
        <v>1001</v>
      </c>
      <c r="B10">
        <v>45292</v>
      </c>
      <c r="C10" t="str">
        <v>East</v>
      </c>
      <c r="D10" t="str">
        <v>Ramesh</v>
      </c>
      <c r="E10" t="str">
        <v>Laptop</v>
      </c>
      <c r="F10">
        <v>3</v>
      </c>
      <c r="G10">
        <v>55000</v>
      </c>
      <c r="H10">
        <v>165000</v>
      </c>
      <c r="I10" t="str">
        <v>Delivered</v>
      </c>
    </row>
    <row r="11" spans="1:9" x14ac:dyDescent="0.3">
      <c r="A11">
        <v>1005</v>
      </c>
      <c r="B11">
        <v>45296</v>
      </c>
      <c r="C11" t="str">
        <v>South</v>
      </c>
      <c r="D11" t="str">
        <v>Ramesh</v>
      </c>
      <c r="E11" t="str">
        <v>Laptop</v>
      </c>
      <c r="F11">
        <v>1</v>
      </c>
      <c r="G11">
        <v>60000</v>
      </c>
      <c r="H11">
        <v>60000</v>
      </c>
      <c r="I11" t="str">
        <v>Delivered</v>
      </c>
    </row>
    <row r="12" spans="1:9" x14ac:dyDescent="0.3">
      <c r="A12">
        <v>1010</v>
      </c>
      <c r="B12">
        <v>45301</v>
      </c>
      <c r="C12" t="str">
        <v>West</v>
      </c>
      <c r="D12" t="str">
        <v>Ramesh</v>
      </c>
      <c r="E12" t="str">
        <v>Laptop</v>
      </c>
      <c r="F12">
        <v>2</v>
      </c>
      <c r="G12">
        <v>57000</v>
      </c>
      <c r="H12">
        <v>114000</v>
      </c>
      <c r="I12" t="str">
        <v>Cancelled</v>
      </c>
    </row>
    <row r="17" spans="1:9" x14ac:dyDescent="0.3">
      <c r="A17" s="4" t="s">
        <v>34</v>
      </c>
      <c r="B17" s="4"/>
      <c r="C17" s="4"/>
      <c r="D17" s="4"/>
      <c r="E17" s="4"/>
      <c r="F17" s="4"/>
      <c r="G17" s="4"/>
      <c r="H17" s="4"/>
      <c r="I17" s="4"/>
    </row>
    <row r="18" spans="1:9" x14ac:dyDescent="0.3">
      <c r="A18" cm="1">
        <f t="array" ref="A18:I18">_xlfn._xlws.FILTER(Data!A1:I11,(Data!C1:C11=Data!C4)*(Data!I1:I11=Data!I2))</f>
        <v>1003</v>
      </c>
      <c r="B18">
        <v>45294</v>
      </c>
      <c r="C18" t="str">
        <v>North</v>
      </c>
      <c r="D18" t="str">
        <v>Ravi</v>
      </c>
      <c r="E18" t="str">
        <v>Keyboard</v>
      </c>
      <c r="F18">
        <v>5</v>
      </c>
      <c r="G18">
        <v>1200</v>
      </c>
      <c r="H18">
        <v>6000</v>
      </c>
      <c r="I18" t="str">
        <v>Delivered</v>
      </c>
    </row>
  </sheetData>
  <mergeCells count="3">
    <mergeCell ref="A2:I2"/>
    <mergeCell ref="A9:I9"/>
    <mergeCell ref="A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Filter with Single Criteria</vt:lpstr>
      <vt:lpstr>Filter with Multiple Criterias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 Gadarla</dc:creator>
  <cp:lastModifiedBy>Rohini Gadarla</cp:lastModifiedBy>
  <dcterms:created xsi:type="dcterms:W3CDTF">2025-11-13T03:20:23Z</dcterms:created>
  <dcterms:modified xsi:type="dcterms:W3CDTF">2025-11-13T04:14:37Z</dcterms:modified>
</cp:coreProperties>
</file>